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1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5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ticiones" sheetId="1" state="visible" r:id="rId3"/>
    <sheet name="resumen perfil" sheetId="2" state="visible" r:id="rId4"/>
    <sheet name="resumen tipo petición" sheetId="3" state="visible" r:id="rId5"/>
    <sheet name="resumen proyecto" sheetId="4" state="visible" r:id="rId6"/>
    <sheet name="resumen peticiones" sheetId="5" state="visible" r:id="rId7"/>
  </sheets>
  <definedNames>
    <definedName function="false" hidden="true" localSheetId="0" name="_xlnm._FilterDatabase" vbProcedure="false">peticiones!$A$1:$U$517</definedName>
    <definedName function="false" hidden="true" localSheetId="4" name="_xlnm._FilterDatabase" vbProcedure="false">'resumen peticiones'!$A$1:$R$2</definedName>
    <definedName function="false" hidden="true" localSheetId="3" name="_xlnm._FilterDatabase" vbProcedure="false">'resumen proyecto'!$A$1:$F$81</definedName>
    <definedName function="false" hidden="true" localSheetId="2" name="_xlnm._FilterDatabase" vbProcedure="false">'resumen tipo petición'!$A$1:$F$1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<sst xmlns="http://schemas.openxmlformats.org/spreadsheetml/2006/main" count="178" uniqueCount="152">
  <si>
    <t xml:space="preserve">LÍNEA</t>
  </si>
  <si>
    <t xml:space="preserve">CANAL</t>
  </si>
  <si>
    <t xml:space="preserve">ID PETICIÓN</t>
  </si>
  <si>
    <t xml:space="preserve">TÍTULO PETICIÓN</t>
  </si>
  <si>
    <t xml:space="preserve">TIPO PETICIÓN</t>
  </si>
  <si>
    <t xml:space="preserve">HORAS JP</t>
  </si>
  <si>
    <t xml:space="preserve">HORAS CO</t>
  </si>
  <si>
    <t xml:space="preserve">HORAS AN</t>
  </si>
  <si>
    <t xml:space="preserve">HORAS PR</t>
  </si>
  <si>
    <t xml:space="preserve">TOTAL HORAS</t>
  </si>
  <si>
    <t xml:space="preserve">ESTIMADAS JP</t>
  </si>
  <si>
    <t xml:space="preserve">ESTIMADAS CO</t>
  </si>
  <si>
    <t xml:space="preserve">ESTIMADAS AN</t>
  </si>
  <si>
    <t xml:space="preserve">ESTIMADAS PR</t>
  </si>
  <si>
    <t xml:space="preserve">TOTAL</t>
  </si>
  <si>
    <t xml:space="preserve">MES</t>
  </si>
  <si>
    <t xml:space="preserve">FECHA INICIO</t>
  </si>
  <si>
    <t xml:space="preserve">FECHA CIERRE</t>
  </si>
  <si>
    <t xml:space="preserve">ID GESTIC</t>
  </si>
  <si>
    <t xml:space="preserve">DIRECCIÓN DE PROYECTO</t>
  </si>
  <si>
    <t xml:space="preserve">OBSERVACIONES</t>
  </si>
  <si>
    <t xml:space="preserve">OPERACION</t>
  </si>
  <si>
    <t xml:space="preserve">HORIZONTAL</t>
  </si>
  <si>
    <t xml:space="preserve">Coordinación general de JAVA</t>
  </si>
  <si>
    <t xml:space="preserve">Otras Peticiones ANS</t>
  </si>
  <si>
    <t xml:space="preserve">03/01/2023</t>
  </si>
  <si>
    <t xml:space="preserve">María Teresa Caña Pérez</t>
  </si>
  <si>
    <t xml:space="preserve">Análisis de los datos, estudio de la solución. Scripts para correcciones y comprobaciones. Pruebas. Envío de la solución al traspaso unificado. Resolución de la petición</t>
  </si>
  <si>
    <t xml:space="preserve">HORAS</t>
  </si>
  <si>
    <t xml:space="preserve">TARIFA</t>
  </si>
  <si>
    <t xml:space="preserve">_</t>
  </si>
  <si>
    <t xml:space="preserve">JP</t>
  </si>
  <si>
    <t xml:space="preserve">Total por petición</t>
  </si>
  <si>
    <t xml:space="preserve">CO</t>
  </si>
  <si>
    <t xml:space="preserve">AN</t>
  </si>
  <si>
    <t xml:space="preserve">Horas perfil</t>
  </si>
  <si>
    <t xml:space="preserve">PR</t>
  </si>
  <si>
    <t xml:space="preserve">Horas tipo petición</t>
  </si>
  <si>
    <t xml:space="preserve">Horas resumen</t>
  </si>
  <si>
    <t xml:space="preserve">*</t>
  </si>
  <si>
    <t xml:space="preserve">(*)</t>
  </si>
  <si>
    <t xml:space="preserve">Horas sin defectos</t>
  </si>
  <si>
    <t xml:space="preserve">Horas petición</t>
  </si>
  <si>
    <t xml:space="preserve">Horas peticiones</t>
  </si>
  <si>
    <t xml:space="preserve">**</t>
  </si>
  <si>
    <t xml:space="preserve">(**)</t>
  </si>
  <si>
    <t xml:space="preserve">Horas con defectos</t>
  </si>
  <si>
    <t xml:space="preserve">Tarea de Gestión</t>
  </si>
  <si>
    <t xml:space="preserve">Traspaso EO</t>
  </si>
  <si>
    <t xml:space="preserve">Consulta 2N ANS</t>
  </si>
  <si>
    <t xml:space="preserve">Consultoría ANS</t>
  </si>
  <si>
    <t xml:space="preserve">Corrección de Datos ANS</t>
  </si>
  <si>
    <t xml:space="preserve">Entregas</t>
  </si>
  <si>
    <t xml:space="preserve">Error Conocido ANS</t>
  </si>
  <si>
    <t xml:space="preserve">Evolutivo ANS</t>
  </si>
  <si>
    <t xml:space="preserve">Hito</t>
  </si>
  <si>
    <t xml:space="preserve">Incidencia Bloqueante ANS</t>
  </si>
  <si>
    <t xml:space="preserve">Incidencia Inmediata ANS</t>
  </si>
  <si>
    <t xml:space="preserve">Incidencia No Bloqueante ANS</t>
  </si>
  <si>
    <t xml:space="preserve">Tarea de Gestión Incidencias</t>
  </si>
  <si>
    <t xml:space="preserve">Tarea de Valoración</t>
  </si>
  <si>
    <t xml:space="preserve">Tareas</t>
  </si>
  <si>
    <t xml:space="preserve">Defecto</t>
  </si>
  <si>
    <t xml:space="preserve">(*) Está separada adrede</t>
  </si>
  <si>
    <t xml:space="preserve">PROYECTO</t>
  </si>
  <si>
    <t xml:space="preserve">ACREDITACIONES DE CENTROS</t>
  </si>
  <si>
    <t xml:space="preserve">ACREDITACIONES DE ENTIDADES Y AYUDAS A DOMICILIO</t>
  </si>
  <si>
    <t xml:space="preserve">ACTUACIÓN INSPECTORA</t>
  </si>
  <si>
    <t xml:space="preserve">ADOPCIÓN INTERNACIONAL</t>
  </si>
  <si>
    <t xml:space="preserve">ALQUILERES</t>
  </si>
  <si>
    <t xml:space="preserve">AUTORIZACIONES DE CENTROS</t>
  </si>
  <si>
    <t xml:space="preserve">Ayuda complementaria IMV</t>
  </si>
  <si>
    <t xml:space="preserve">CARPETA CIUDADANA</t>
  </si>
  <si>
    <t xml:space="preserve">CCVV</t>
  </si>
  <si>
    <t xml:space="preserve">CHSS Historia Social Única</t>
  </si>
  <si>
    <t xml:space="preserve">Congresos</t>
  </si>
  <si>
    <t xml:space="preserve">CPA Virtual de Andalucía</t>
  </si>
  <si>
    <t xml:space="preserve">DEPENDE</t>
  </si>
  <si>
    <t xml:space="preserve">EQUIPO DE VALORACIÓN Y ORIENTACIÓN (EVO)</t>
  </si>
  <si>
    <t xml:space="preserve">FAMILIA NUMEROSA</t>
  </si>
  <si>
    <t xml:space="preserve">FAS-NOMINA</t>
  </si>
  <si>
    <t xml:space="preserve">FICHA CORPORATIVA CENTROS</t>
  </si>
  <si>
    <t xml:space="preserve">FONDO SOCIAL EUROPEO (FSE)</t>
  </si>
  <si>
    <t xml:space="preserve">GBD Gobierno del Dato</t>
  </si>
  <si>
    <t xml:space="preserve">GSS GeSStiona</t>
  </si>
  <si>
    <t xml:space="preserve">HORIZONTAL JAVA</t>
  </si>
  <si>
    <t xml:space="preserve">IISL Itinerarios Zonas Desfavorecidas</t>
  </si>
  <si>
    <t xml:space="preserve">IPII</t>
  </si>
  <si>
    <t xml:space="preserve">MEDIACIÓN FAMILIAR</t>
  </si>
  <si>
    <t xml:space="preserve">MENORES-SISS</t>
  </si>
  <si>
    <t xml:space="preserve">MSPce</t>
  </si>
  <si>
    <t xml:space="preserve">MSPdisTarjApar</t>
  </si>
  <si>
    <t xml:space="preserve">MSPimportesRmisa </t>
  </si>
  <si>
    <t xml:space="preserve">MSPparHecho</t>
  </si>
  <si>
    <t xml:space="preserve">NAYFA Programa preventivo para niños, niñas y adolescentes en conflictividad</t>
  </si>
  <si>
    <t xml:space="preserve">Netgefys</t>
  </si>
  <si>
    <t xml:space="preserve">Netgefys Intercambio</t>
  </si>
  <si>
    <t xml:space="preserve">NÓMINA</t>
  </si>
  <si>
    <t xml:space="preserve">NÓMINA - DEPENDE</t>
  </si>
  <si>
    <t xml:space="preserve">NÓMINA-ASE-FAS-SGIM</t>
  </si>
  <si>
    <t xml:space="preserve">NÓMINA-ASE-PNC</t>
  </si>
  <si>
    <t xml:space="preserve">OAS</t>
  </si>
  <si>
    <t xml:space="preserve">OBI - SISS</t>
  </si>
  <si>
    <t xml:space="preserve">PAREJAS DE HECHO</t>
  </si>
  <si>
    <t xml:space="preserve">PCAU</t>
  </si>
  <si>
    <t xml:space="preserve">PDC</t>
  </si>
  <si>
    <t xml:space="preserve">PENSIONES NO CONTRIBUTIVAS (PNC)</t>
  </si>
  <si>
    <t xml:space="preserve">PGSS ProgreSSa</t>
  </si>
  <si>
    <t xml:space="preserve">PLAN DE MEDIOS COVID19</t>
  </si>
  <si>
    <t xml:space="preserve">PLANES LOCALES (PPLL)</t>
  </si>
  <si>
    <t xml:space="preserve">PORTAL ACTUACIÓN INSPECTORA (PACI)</t>
  </si>
  <si>
    <t xml:space="preserve">PRESTACIONES SOCIALES PARA PERSONAS CON DISCAPACIDAD (PSPD)</t>
  </si>
  <si>
    <t xml:space="preserve">Proxy SISS BAREDI</t>
  </si>
  <si>
    <t xml:space="preserve">PRUEBA GESTIC</t>
  </si>
  <si>
    <t xml:space="preserve">PTC Plataforma de centros</t>
  </si>
  <si>
    <t xml:space="preserve">RAP</t>
  </si>
  <si>
    <t xml:space="preserve">REG Registro Horizontal CISJUFI</t>
  </si>
  <si>
    <t xml:space="preserve">REGISTRO DE CENTROS</t>
  </si>
  <si>
    <t xml:space="preserve">REGISTRO DE ENTIDADES</t>
  </si>
  <si>
    <t xml:space="preserve">REGISTRO DE PERROS GUÍA</t>
  </si>
  <si>
    <t xml:space="preserve">RGEV Registro Entidades Voluntariado</t>
  </si>
  <si>
    <t xml:space="preserve">RMISA</t>
  </si>
  <si>
    <t xml:space="preserve">RVO Nuevo Registro General de Entidades de Voluntariado</t>
  </si>
  <si>
    <t xml:space="preserve">SCIaeatIrpf</t>
  </si>
  <si>
    <t xml:space="preserve">SCIcorPagSegSoc</t>
  </si>
  <si>
    <t xml:space="preserve">SCIobTrContAEAT</t>
  </si>
  <si>
    <t xml:space="preserve">SCIobTrContCCAA</t>
  </si>
  <si>
    <t xml:space="preserve">SCIresHist</t>
  </si>
  <si>
    <t xml:space="preserve">SCIresHistMun</t>
  </si>
  <si>
    <t xml:space="preserve">SCIresideExtDgp</t>
  </si>
  <si>
    <t xml:space="preserve">SCIresideLegal</t>
  </si>
  <si>
    <t xml:space="preserve">SCSP CONSUMIDOR</t>
  </si>
  <si>
    <t xml:space="preserve">SCSP PROVEEDOR</t>
  </si>
  <si>
    <t xml:space="preserve">SIMIA</t>
  </si>
  <si>
    <t xml:space="preserve">SIRMI</t>
  </si>
  <si>
    <t xml:space="preserve">SISS-COHESSIONA</t>
  </si>
  <si>
    <t xml:space="preserve">SISS-GIRO</t>
  </si>
  <si>
    <t xml:space="preserve">SISS-NOTIFICA</t>
  </si>
  <si>
    <t xml:space="preserve">SISS-vea</t>
  </si>
  <si>
    <t xml:space="preserve">SISTEMAS DE INFORMACIÓN</t>
  </si>
  <si>
    <t xml:space="preserve">SJG</t>
  </si>
  <si>
    <t xml:space="preserve">SUBVENCIONES</t>
  </si>
  <si>
    <t xml:space="preserve">SUMA Centros Participacion Activa</t>
  </si>
  <si>
    <t xml:space="preserve">TALIM Tarjeta Alimentaria</t>
  </si>
  <si>
    <t xml:space="preserve">TERCER HIJO Y PARTO MÚLTIPLE</t>
  </si>
  <si>
    <t xml:space="preserve">HORAS TOTAL</t>
  </si>
  <si>
    <t xml:space="preserve">ESTIMADAS TOTAL</t>
  </si>
  <si>
    <t xml:space="preserve">INCURRIDO</t>
  </si>
  <si>
    <t xml:space="preserve">VALORADO I</t>
  </si>
  <si>
    <t xml:space="preserve">VALORADO II</t>
  </si>
  <si>
    <t xml:space="preserve">MARGEN I</t>
  </si>
  <si>
    <t xml:space="preserve">MARGEN II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</si>
</sst>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_-* #,##0.00&quot; €&quot;_-;\-* #,##0.00&quot; €&quot;_-;_-* \-??&quot; €&quot;_-;_-@_-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2"/>
      <charset val="1"/>
    </font>
    <font>
      <sz val="10"/>
      <color theme="0"/>
      <name val="Arial"/>
      <family val="2"/>
      <charset val="1"/>
    </font>
    <font>
      <b val="true"/>
      <sz val="10"/>
      <color theme="1"/>
      <name val="Arial"/>
      <family val="2"/>
      <charset val="1"/>
    </font>
    <font>
      <sz val="10"/>
      <color theme="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1"/>
        <bgColor rgb="FF003300"/>
      </patternFill>
    </fill>
    <fill>
      <patternFill patternType="solid">
        <fgColor theme="4" tint="0.5998"/>
        <bgColor rgb="FFD9D9D9"/>
      </patternFill>
    </fill>
    <fill>
      <patternFill patternType="solid">
        <fgColor theme="7" tint="0.7998"/>
        <bgColor rgb="FFFFFFFF"/>
      </patternFill>
    </fill>
    <fill>
      <patternFill patternType="solid">
        <fgColor theme="0" tint="-0.15"/>
        <bgColor rgb="FFBDD7EE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0000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499"/>
  <sheetViews>
    <sheetView showFormulas="false" showGridLines="true" showRowColHeaders="true" showZeros="true" rightToLeft="false" tabSelected="true" showOutlineSymbols="true" defaultGridColor="true" view="normal" topLeftCell="N1" colorId="64" zoomScale="80" zoomScaleNormal="80" zoomScalePageLayoutView="100" workbookViewId="0">
      <selection pane="topLeft" activeCell="V1" activeCellId="0" sqref="V1"/>
    </sheetView>
  </sheetViews>
  <sheetFormatPr defaultColWidth="8.88671875" defaultRowHeight="12.75" customHeight="true" zeroHeight="false" outlineLevelRow="0" outlineLevelCol="0"/>
  <cols>
    <col collapsed="false" customWidth="true" hidden="false" outlineLevel="0" max="1" min="1" style="1" width="11.67"/>
    <col collapsed="false" customWidth="true" hidden="false" outlineLevel="0" max="2" min="2" style="1" width="12.44"/>
    <col collapsed="false" customWidth="true" hidden="false" outlineLevel="0" max="3" min="3" style="1" width="16.89"/>
    <col collapsed="false" customWidth="true" hidden="false" outlineLevel="0" max="4" min="4" style="1" width="36.77"/>
    <col collapsed="false" customWidth="true" hidden="false" outlineLevel="0" max="5" min="5" style="1" width="22.33"/>
    <col collapsed="false" customWidth="true" hidden="false" outlineLevel="0" max="6" min="6" style="1" width="15.56"/>
    <col collapsed="false" customWidth="true" hidden="false" outlineLevel="0" max="7" min="7" style="1" width="16.11"/>
    <col collapsed="false" customWidth="true" hidden="false" outlineLevel="0" max="9" min="8" style="1" width="16"/>
    <col collapsed="false" customWidth="true" hidden="false" outlineLevel="0" max="10" min="10" style="1" width="19"/>
    <col collapsed="false" customWidth="true" hidden="false" outlineLevel="0" max="11" min="11" style="1" width="19.56"/>
    <col collapsed="false" customWidth="true" hidden="false" outlineLevel="0" max="12" min="12" style="1" width="20.11"/>
    <col collapsed="false" customWidth="true" hidden="false" outlineLevel="0" max="14" min="13" style="1" width="20"/>
    <col collapsed="false" customWidth="true" hidden="false" outlineLevel="0" max="15" min="15" style="1" width="12.11"/>
    <col collapsed="false" customWidth="true" hidden="false" outlineLevel="0" max="16" min="16" style="1" width="10.56"/>
    <col collapsed="false" customWidth="true" hidden="false" outlineLevel="0" max="17" min="17" style="1" width="18.34"/>
    <col collapsed="false" customWidth="true" hidden="false" outlineLevel="0" max="18" min="18" style="1" width="19.88"/>
    <col collapsed="false" customWidth="true" hidden="false" outlineLevel="0" max="19" min="19" style="1" width="15.22"/>
    <col collapsed="false" customWidth="true" hidden="false" outlineLevel="0" max="20" min="20" style="1" width="31.67"/>
    <col collapsed="false" customWidth="true" hidden="false" outlineLevel="0" max="21" min="21" style="1" width="27.67"/>
    <col collapsed="false" customWidth="false" hidden="false" outlineLevel="0" max="16383" min="23" style="1" width="8.88"/>
    <col collapsed="false" customWidth="true" hidden="false" outlineLevel="0" max="16384" min="16384" style="1" width="11.56"/>
  </cols>
  <sheetData>
    <row r="1" s="3" customFormat="true" ht="12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customFormat="false" ht="13.8" hidden="false" customHeight="false" outlineLevel="0" collapsed="false">
      <c r="A2" s="1" t="s">
        <v>21</v>
      </c>
      <c r="B2" s="1" t="s">
        <v>22</v>
      </c>
      <c r="C2" s="1" t="n">
        <v>121039</v>
      </c>
      <c r="D2" s="1" t="s">
        <v>23</v>
      </c>
      <c r="E2" s="1" t="s">
        <v>24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202508</v>
      </c>
      <c r="Q2" s="1" t="s">
        <v>25</v>
      </c>
      <c r="T2" s="1" t="s">
        <v>26</v>
      </c>
      <c r="U2" s="1" t="s">
        <v>27</v>
      </c>
    </row>
    <row r="20" customFormat="false" ht="14.25" hidden="false" customHeight="false" outlineLevel="0" collapsed="false"/>
    <row r="499" customFormat="false" ht="14.25" hidden="false" customHeight="false" outlineLevel="0" collapsed="false"/>
  </sheetData>
  <autoFilter ref="A1:U517">
    <sortState ref="A2:U517">
      <sortCondition ref="A2:A517" customList=""/>
    </sortState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J4" activeCellId="0" sqref="J4"/>
    </sheetView>
  </sheetViews>
  <sheetFormatPr defaultColWidth="11.5625" defaultRowHeight="12.75" customHeight="tru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7.67"/>
    <col collapsed="false" customWidth="true" hidden="false" outlineLevel="0" max="3" min="3" style="1" width="8.88"/>
    <col collapsed="false" customWidth="true" hidden="false" outlineLevel="0" max="4" min="4" style="1" width="12.67"/>
    <col collapsed="false" customWidth="true" hidden="false" outlineLevel="0" max="5" min="5" style="1" width="2.11"/>
    <col collapsed="false" customWidth="true" hidden="false" outlineLevel="0" max="6" min="6" style="1" width="4"/>
    <col collapsed="false" customWidth="true" hidden="false" outlineLevel="0" max="7" min="7" style="1" width="18.34"/>
    <col collapsed="false" customWidth="false" hidden="false" outlineLevel="0" max="8" min="8" style="1" width="11.56"/>
    <col collapsed="false" customWidth="true" hidden="false" outlineLevel="0" max="9" min="9" style="1" width="17.44"/>
    <col collapsed="false" customWidth="true" hidden="false" outlineLevel="0" max="10" min="10" style="1" width="12.67"/>
    <col collapsed="false" customWidth="false" hidden="false" outlineLevel="0" max="16384" min="11" style="1" width="11.56"/>
  </cols>
  <sheetData>
    <row r="1" customFormat="false" ht="12.75" hidden="false" customHeight="true" outlineLevel="0" collapsed="false">
      <c r="B1" s="2" t="s">
        <v>28</v>
      </c>
      <c r="C1" s="2" t="s">
        <v>29</v>
      </c>
      <c r="D1" s="2" t="s">
        <v>14</v>
      </c>
      <c r="E1" s="1" t="s">
        <v>30</v>
      </c>
    </row>
    <row r="2" customFormat="false" ht="12.75" hidden="false" customHeight="true" outlineLevel="0" collapsed="false">
      <c r="A2" s="2" t="s">
        <v>31</v>
      </c>
      <c r="B2" s="4" t="n">
        <f aca="false">SUM('resumen tipo petición'!B2:B17)</f>
        <v>0</v>
      </c>
      <c r="C2" s="5" t="n">
        <v>38</v>
      </c>
      <c r="D2" s="5" t="n">
        <f aca="false">C2*B2</f>
        <v>0</v>
      </c>
      <c r="I2" s="6" t="s">
        <v>32</v>
      </c>
      <c r="J2" s="7" t="n">
        <f aca="false">SUM('resumen peticiones'!P2:P988)</f>
        <v>0</v>
      </c>
    </row>
    <row r="3" customFormat="false" ht="12.75" hidden="false" customHeight="true" outlineLevel="0" collapsed="false">
      <c r="A3" s="2" t="s">
        <v>33</v>
      </c>
      <c r="B3" s="4" t="n">
        <f aca="false">SUM('resumen tipo petición'!C2:C17)</f>
        <v>0</v>
      </c>
      <c r="C3" s="5" t="n">
        <v>38</v>
      </c>
      <c r="D3" s="5" t="n">
        <f aca="false">C3*B3</f>
        <v>0</v>
      </c>
    </row>
    <row r="4" customFormat="false" ht="12.75" hidden="false" customHeight="true" outlineLevel="0" collapsed="false">
      <c r="A4" s="2" t="s">
        <v>34</v>
      </c>
      <c r="B4" s="4" t="n">
        <f aca="false">SUM('resumen tipo petición'!D2:D17)</f>
        <v>0</v>
      </c>
      <c r="C4" s="5" t="n">
        <v>31.5</v>
      </c>
      <c r="D4" s="5" t="n">
        <f aca="false">C4*B4</f>
        <v>0</v>
      </c>
      <c r="I4" s="8" t="s">
        <v>35</v>
      </c>
      <c r="J4" s="9" t="n">
        <f aca="false">B9</f>
        <v>0</v>
      </c>
    </row>
    <row r="5" customFormat="false" ht="12.75" hidden="false" customHeight="true" outlineLevel="0" collapsed="false">
      <c r="A5" s="2" t="s">
        <v>36</v>
      </c>
      <c r="B5" s="4" t="n">
        <f aca="false">SUM('resumen tipo petición'!E2:E17)</f>
        <v>0</v>
      </c>
      <c r="C5" s="5" t="n">
        <v>20</v>
      </c>
      <c r="D5" s="5" t="n">
        <f aca="false">C5*B5</f>
        <v>0</v>
      </c>
      <c r="I5" s="8" t="s">
        <v>37</v>
      </c>
      <c r="J5" s="9" t="n">
        <f aca="false">SUM('resumen tipo petición'!F2:F100)</f>
        <v>0</v>
      </c>
    </row>
    <row r="6" customFormat="false" ht="12.75" hidden="false" customHeight="true" outlineLevel="0" collapsed="false">
      <c r="C6" s="5"/>
      <c r="D6" s="5"/>
      <c r="I6" s="8" t="s">
        <v>38</v>
      </c>
      <c r="J6" s="9" t="n">
        <f aca="false">SUM('resumen proyecto'!F2:F100)</f>
        <v>0</v>
      </c>
    </row>
    <row r="7" customFormat="false" ht="12.75" hidden="false" customHeight="true" outlineLevel="0" collapsed="false">
      <c r="A7" s="1" t="s">
        <v>39</v>
      </c>
      <c r="B7" s="10" t="n">
        <f aca="false">SUM(B2:B5)</f>
        <v>0</v>
      </c>
      <c r="C7" s="5"/>
      <c r="D7" s="11" t="n">
        <f aca="false">SUM(D2:D5)</f>
        <v>0</v>
      </c>
      <c r="F7" s="12" t="s">
        <v>40</v>
      </c>
      <c r="G7" s="12" t="s">
        <v>41</v>
      </c>
      <c r="I7" s="8" t="s">
        <v>42</v>
      </c>
      <c r="J7" s="9" t="n">
        <f aca="false">SUM('resumen peticiones'!G2:G988)</f>
        <v>0</v>
      </c>
    </row>
    <row r="8" customFormat="false" ht="12.75" hidden="false" customHeight="true" outlineLevel="0" collapsed="false">
      <c r="I8" s="8" t="s">
        <v>43</v>
      </c>
      <c r="J8" s="9" t="n">
        <f aca="false">SUM(peticiones!J2:J992)</f>
        <v>0</v>
      </c>
    </row>
    <row r="9" customFormat="false" ht="12.75" hidden="false" customHeight="true" outlineLevel="0" collapsed="false">
      <c r="A9" s="1" t="s">
        <v>44</v>
      </c>
      <c r="B9" s="4" t="n">
        <f aca="false">B7+'resumen tipo petición'!F19</f>
        <v>0</v>
      </c>
      <c r="F9" s="12" t="s">
        <v>45</v>
      </c>
      <c r="G9" s="12" t="s">
        <v>46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C2" activeCellId="0" sqref="C2"/>
    </sheetView>
  </sheetViews>
  <sheetFormatPr defaultColWidth="10.5625" defaultRowHeight="14.25" customHeight="true" zeroHeight="false" outlineLevelRow="0" outlineLevelCol="0"/>
  <cols>
    <col collapsed="false" customWidth="true" hidden="false" outlineLevel="0" max="1" min="1" style="13" width="28.11"/>
    <col collapsed="false" customWidth="true" hidden="false" outlineLevel="0" max="2" min="2" style="13" width="15.56"/>
    <col collapsed="false" customWidth="true" hidden="false" outlineLevel="0" max="3" min="3" style="13" width="16.11"/>
    <col collapsed="false" customWidth="true" hidden="false" outlineLevel="0" max="4" min="4" style="13" width="15.88"/>
    <col collapsed="false" customWidth="true" hidden="false" outlineLevel="0" max="5" min="5" style="13" width="16"/>
    <col collapsed="false" customWidth="true" hidden="false" outlineLevel="0" max="6" min="6" style="13" width="12"/>
    <col collapsed="false" customWidth="true" hidden="false" outlineLevel="0" max="7" min="7" style="13" width="2"/>
    <col collapsed="false" customWidth="true" hidden="false" outlineLevel="0" max="8" min="8" style="13" width="23.33"/>
  </cols>
  <sheetData>
    <row r="1" customFormat="false" ht="14.25" hidden="false" customHeight="false" outlineLevel="0" collapsed="false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14</v>
      </c>
    </row>
    <row r="2" customFormat="false" ht="14.25" hidden="false" customHeight="false" outlineLevel="0" collapsed="false">
      <c r="A2" s="1" t="s">
        <v>47</v>
      </c>
      <c r="B2" s="4" t="n">
        <f aca="false">SUMIF(peticiones!$E$2:$E$2992, $A2, peticiones!$F$2:$F$2992)</f>
        <v>0</v>
      </c>
      <c r="C2" s="4" t="n">
        <f aca="false">SUMIF(peticiones!$E$2:$E$2992, $A2, peticiones!$G$2:$G$2992)</f>
        <v>0</v>
      </c>
      <c r="D2" s="4" t="n">
        <f aca="false">SUMIF(peticiones!$E$2:$E$2992, $A2, peticiones!$H$2:$H$2992)</f>
        <v>0</v>
      </c>
      <c r="E2" s="4" t="n">
        <f aca="false">SUMIF(peticiones!$E$2:$E$2992, $A2, peticiones!$I$2:$I$2992)</f>
        <v>0</v>
      </c>
      <c r="F2" s="4" t="n">
        <f aca="false">SUM(B2:E2)</f>
        <v>0</v>
      </c>
    </row>
    <row r="3" customFormat="false" ht="14.25" hidden="false" customHeight="false" outlineLevel="0" collapsed="false">
      <c r="A3" s="1" t="s">
        <v>48</v>
      </c>
      <c r="B3" s="4" t="n">
        <f aca="false">SUMIF(peticiones!$E$2:$E$2992, $A3, peticiones!$F$2:$F$2992)</f>
        <v>0</v>
      </c>
      <c r="C3" s="4" t="n">
        <f aca="false">SUMIF(peticiones!$E$2:$E$2992, $A3, peticiones!$G$2:$G$2992)</f>
        <v>0</v>
      </c>
      <c r="D3" s="4" t="n">
        <f aca="false">SUMIF(peticiones!$E$2:$E$2992, $A3, peticiones!$H$2:$H$2992)</f>
        <v>0</v>
      </c>
      <c r="E3" s="4" t="n">
        <f aca="false">SUMIF(peticiones!$E$2:$E$2992, $A3, peticiones!$I$2:$I$2992)</f>
        <v>0</v>
      </c>
      <c r="F3" s="4" t="n">
        <f aca="false">SUM(B3:E3)</f>
        <v>0</v>
      </c>
    </row>
    <row r="4" customFormat="false" ht="14.25" hidden="false" customHeight="false" outlineLevel="0" collapsed="false">
      <c r="A4" s="1" t="s">
        <v>49</v>
      </c>
      <c r="B4" s="4" t="n">
        <f aca="false">SUMIF(peticiones!$E$2:$E$2992, $A4, peticiones!$F$2:$F$2992)</f>
        <v>0</v>
      </c>
      <c r="C4" s="4" t="n">
        <f aca="false">SUMIF(peticiones!$E$2:$E$2992, $A4, peticiones!$G$2:$G$2992)</f>
        <v>0</v>
      </c>
      <c r="D4" s="4" t="n">
        <f aca="false">SUMIF(peticiones!$E$2:$E$2992, $A4, peticiones!$H$2:$H$2992)</f>
        <v>0</v>
      </c>
      <c r="E4" s="4" t="n">
        <f aca="false">SUMIF(peticiones!$E$2:$E$2992, $A4, peticiones!$I$2:$I$2992)</f>
        <v>0</v>
      </c>
      <c r="F4" s="4" t="n">
        <f aca="false">SUM(B4:E4)</f>
        <v>0</v>
      </c>
      <c r="I4" s="1"/>
    </row>
    <row r="5" customFormat="false" ht="14.25" hidden="false" customHeight="false" outlineLevel="0" collapsed="false">
      <c r="A5" s="1" t="s">
        <v>50</v>
      </c>
      <c r="B5" s="4" t="n">
        <f aca="false">SUMIF(peticiones!$E$2:$E$2992, $A5, peticiones!$F$2:$F$2992)</f>
        <v>0</v>
      </c>
      <c r="C5" s="4" t="n">
        <f aca="false">SUMIF(peticiones!$E$2:$E$2992, $A5, peticiones!$G$2:$G$2992)</f>
        <v>0</v>
      </c>
      <c r="D5" s="4" t="n">
        <f aca="false">SUMIF(peticiones!$E$2:$E$2992, $A5, peticiones!$H$2:$H$2992)</f>
        <v>0</v>
      </c>
      <c r="E5" s="4" t="n">
        <f aca="false">SUMIF(peticiones!$E$2:$E$2992, $A5, peticiones!$I$2:$I$2992)</f>
        <v>0</v>
      </c>
      <c r="F5" s="4" t="n">
        <f aca="false">SUM(B5:E5)</f>
        <v>0</v>
      </c>
      <c r="I5" s="1"/>
    </row>
    <row r="6" customFormat="false" ht="14.25" hidden="false" customHeight="false" outlineLevel="0" collapsed="false">
      <c r="A6" s="1" t="s">
        <v>51</v>
      </c>
      <c r="B6" s="4" t="n">
        <f aca="false">SUMIF(peticiones!$E$2:$E$2992, $A6, peticiones!$F$2:$F$2992)</f>
        <v>0</v>
      </c>
      <c r="C6" s="4" t="n">
        <f aca="false">SUMIF(peticiones!$E$2:$E$2992, $A6, peticiones!$G$2:$G$2992)</f>
        <v>0</v>
      </c>
      <c r="D6" s="4" t="n">
        <f aca="false">SUMIF(peticiones!$E$2:$E$2992, $A6, peticiones!$H$2:$H$2992)</f>
        <v>0</v>
      </c>
      <c r="E6" s="4" t="n">
        <f aca="false">SUMIF(peticiones!$E$2:$E$2992, $A6, peticiones!$I$2:$I$2992)</f>
        <v>0</v>
      </c>
      <c r="F6" s="4" t="n">
        <f aca="false">SUM(B6:E6)</f>
        <v>0</v>
      </c>
      <c r="I6" s="1"/>
    </row>
    <row r="7" customFormat="false" ht="14.25" hidden="false" customHeight="false" outlineLevel="0" collapsed="false">
      <c r="A7" s="1" t="s">
        <v>52</v>
      </c>
      <c r="B7" s="4" t="n">
        <f aca="false">SUMIF(peticiones!$E$2:$E$2992, $A7, peticiones!$F$2:$F$2992)</f>
        <v>0</v>
      </c>
      <c r="C7" s="4" t="n">
        <f aca="false">SUMIF(peticiones!$E$2:$E$2992, $A7, peticiones!$G$2:$G$2992)</f>
        <v>0</v>
      </c>
      <c r="D7" s="4" t="n">
        <f aca="false">SUMIF(peticiones!$E$2:$E$2992, $A7, peticiones!$H$2:$H$2992)</f>
        <v>0</v>
      </c>
      <c r="E7" s="4" t="n">
        <f aca="false">SUMIF(peticiones!$E$2:$E$2992, $A7, peticiones!$I$2:$I$2992)</f>
        <v>0</v>
      </c>
      <c r="F7" s="4" t="n">
        <f aca="false">SUM(B7:E7)</f>
        <v>0</v>
      </c>
      <c r="I7" s="1"/>
    </row>
    <row r="8" customFormat="false" ht="14.25" hidden="false" customHeight="false" outlineLevel="0" collapsed="false">
      <c r="A8" s="1" t="s">
        <v>53</v>
      </c>
      <c r="B8" s="4" t="n">
        <f aca="false">SUMIF(peticiones!$E$2:$E$2992, $A8, peticiones!$F$2:$F$2992)</f>
        <v>0</v>
      </c>
      <c r="C8" s="4" t="n">
        <f aca="false">SUMIF(peticiones!$E$2:$E$2992, $A8, peticiones!$G$2:$G$2992)</f>
        <v>0</v>
      </c>
      <c r="D8" s="4" t="n">
        <f aca="false">SUMIF(peticiones!$E$2:$E$2992, $A8, peticiones!$H$2:$H$2992)</f>
        <v>0</v>
      </c>
      <c r="E8" s="4" t="n">
        <f aca="false">SUMIF(peticiones!$E$2:$E$2992, $A8, peticiones!$I$2:$I$2992)</f>
        <v>0</v>
      </c>
      <c r="F8" s="4" t="n">
        <f aca="false">SUM(B8:E8)</f>
        <v>0</v>
      </c>
      <c r="I8" s="1"/>
    </row>
    <row r="9" customFormat="false" ht="14.25" hidden="false" customHeight="false" outlineLevel="0" collapsed="false">
      <c r="A9" s="1" t="s">
        <v>54</v>
      </c>
      <c r="B9" s="4" t="n">
        <f aca="false">SUMIF(peticiones!$E$2:$E$2992, $A9, peticiones!$F$2:$F$2992)</f>
        <v>0</v>
      </c>
      <c r="C9" s="4" t="n">
        <f aca="false">SUMIF(peticiones!$E$2:$E$2992, $A9, peticiones!$G$2:$G$2992)</f>
        <v>0</v>
      </c>
      <c r="D9" s="4" t="n">
        <f aca="false">SUMIF(peticiones!$E$2:$E$2992, $A9, peticiones!$H$2:$H$2992)</f>
        <v>0</v>
      </c>
      <c r="E9" s="4" t="n">
        <f aca="false">SUMIF(peticiones!$E$2:$E$2992, $A9, peticiones!$I$2:$I$2992)</f>
        <v>0</v>
      </c>
      <c r="F9" s="4" t="n">
        <f aca="false">SUM(B9:E9)</f>
        <v>0</v>
      </c>
      <c r="I9" s="1"/>
    </row>
    <row r="10" customFormat="false" ht="14.25" hidden="false" customHeight="false" outlineLevel="0" collapsed="false">
      <c r="A10" s="1" t="s">
        <v>55</v>
      </c>
      <c r="B10" s="4" t="n">
        <f aca="false">SUMIF(peticiones!$E$2:$E$2992, $A10, peticiones!$F$2:$F$2992)</f>
        <v>0</v>
      </c>
      <c r="C10" s="4" t="n">
        <f aca="false">SUMIF(peticiones!$E$2:$E$2992, $A10, peticiones!$G$2:$G$2992)</f>
        <v>0</v>
      </c>
      <c r="D10" s="4" t="n">
        <f aca="false">SUMIF(peticiones!$E$2:$E$2992, $A10, peticiones!$H$2:$H$2992)</f>
        <v>0</v>
      </c>
      <c r="E10" s="4" t="n">
        <f aca="false">SUMIF(peticiones!$E$2:$E$2992, $A10, peticiones!$I$2:$I$2992)</f>
        <v>0</v>
      </c>
      <c r="F10" s="4" t="n">
        <f aca="false">SUM(B10:E10)</f>
        <v>0</v>
      </c>
      <c r="I10" s="1"/>
    </row>
    <row r="11" customFormat="false" ht="14.25" hidden="false" customHeight="false" outlineLevel="0" collapsed="false">
      <c r="A11" s="1" t="s">
        <v>56</v>
      </c>
      <c r="B11" s="4" t="n">
        <f aca="false">SUMIF(peticiones!$E$2:$E$2992, $A11, peticiones!$F$2:$F$2992)</f>
        <v>0</v>
      </c>
      <c r="C11" s="4" t="n">
        <f aca="false">SUMIF(peticiones!$E$2:$E$2992, $A11, peticiones!$G$2:$G$2992)</f>
        <v>0</v>
      </c>
      <c r="D11" s="4" t="n">
        <f aca="false">SUMIF(peticiones!$E$2:$E$2992, $A11, peticiones!$H$2:$H$2992)</f>
        <v>0</v>
      </c>
      <c r="E11" s="4" t="n">
        <f aca="false">SUMIF(peticiones!$E$2:$E$2992, $A11, peticiones!$I$2:$I$2992)</f>
        <v>0</v>
      </c>
      <c r="F11" s="4" t="n">
        <f aca="false">SUM(B11:E11)</f>
        <v>0</v>
      </c>
      <c r="I11" s="1"/>
    </row>
    <row r="12" customFormat="false" ht="14.25" hidden="false" customHeight="false" outlineLevel="0" collapsed="false">
      <c r="A12" s="1" t="s">
        <v>57</v>
      </c>
      <c r="B12" s="4" t="n">
        <f aca="false">SUMIF(peticiones!$E$2:$E$2992, $A12, peticiones!$F$2:$F$2992)</f>
        <v>0</v>
      </c>
      <c r="C12" s="4" t="n">
        <f aca="false">SUMIF(peticiones!$E$2:$E$2992, $A12, peticiones!$G$2:$G$2992)</f>
        <v>0</v>
      </c>
      <c r="D12" s="4" t="n">
        <f aca="false">SUMIF(peticiones!$E$2:$E$2992, $A12, peticiones!$H$2:$H$2992)</f>
        <v>0</v>
      </c>
      <c r="E12" s="4" t="n">
        <f aca="false">SUMIF(peticiones!$E$2:$E$2992, $A12, peticiones!$I$2:$I$2992)</f>
        <v>0</v>
      </c>
      <c r="F12" s="4" t="n">
        <f aca="false">SUM(B12:E12)</f>
        <v>0</v>
      </c>
      <c r="I12" s="1"/>
    </row>
    <row r="13" customFormat="false" ht="14.25" hidden="false" customHeight="false" outlineLevel="0" collapsed="false">
      <c r="A13" s="1" t="s">
        <v>58</v>
      </c>
      <c r="B13" s="4" t="n">
        <f aca="false">SUMIF(peticiones!$E$2:$E$2992, $A13, peticiones!$F$2:$F$2992)</f>
        <v>0</v>
      </c>
      <c r="C13" s="4" t="n">
        <f aca="false">SUMIF(peticiones!$E$2:$E$2992, $A13, peticiones!$G$2:$G$2992)</f>
        <v>0</v>
      </c>
      <c r="D13" s="4" t="n">
        <f aca="false">SUMIF(peticiones!$E$2:$E$2992, $A13, peticiones!$H$2:$H$2992)</f>
        <v>0</v>
      </c>
      <c r="E13" s="4" t="n">
        <f aca="false">SUMIF(peticiones!$E$2:$E$2992, $A13, peticiones!$I$2:$I$2992)</f>
        <v>0</v>
      </c>
      <c r="F13" s="4" t="n">
        <f aca="false">SUM(B13:E13)</f>
        <v>0</v>
      </c>
      <c r="I13" s="1"/>
    </row>
    <row r="14" customFormat="false" ht="14.25" hidden="false" customHeight="false" outlineLevel="0" collapsed="false">
      <c r="A14" s="1" t="s">
        <v>24</v>
      </c>
      <c r="B14" s="4" t="n">
        <f aca="false">SUMIF(peticiones!$E$2:$E$2992, $A14, peticiones!$F$2:$F$2992)</f>
        <v>0</v>
      </c>
      <c r="C14" s="4" t="n">
        <f aca="false">SUMIF(peticiones!$E$2:$E$2992, $A14, peticiones!$G$2:$G$2992)</f>
        <v>0</v>
      </c>
      <c r="D14" s="4" t="n">
        <f aca="false">SUMIF(peticiones!$E$2:$E$2992, $A14, peticiones!$H$2:$H$2992)</f>
        <v>0</v>
      </c>
      <c r="E14" s="4" t="n">
        <f aca="false">SUMIF(peticiones!$E$2:$E$2992, $A14, peticiones!$I$2:$I$2992)</f>
        <v>0</v>
      </c>
      <c r="F14" s="4" t="n">
        <f aca="false">SUM(B14:E14)</f>
        <v>0</v>
      </c>
      <c r="I14" s="1"/>
    </row>
    <row r="15" customFormat="false" ht="14.25" hidden="false" customHeight="false" outlineLevel="0" collapsed="false">
      <c r="A15" s="1" t="s">
        <v>59</v>
      </c>
      <c r="B15" s="4" t="n">
        <f aca="false">SUMIF(peticiones!$E$2:$E$2992, $A15, peticiones!$F$2:$F$2992)</f>
        <v>0</v>
      </c>
      <c r="C15" s="4" t="n">
        <f aca="false">SUMIF(peticiones!$E$2:$E$2992, $A15, peticiones!$G$2:$G$2992)</f>
        <v>0</v>
      </c>
      <c r="D15" s="4" t="n">
        <f aca="false">SUMIF(peticiones!$E$2:$E$2992, $A15, peticiones!$H$2:$H$2992)</f>
        <v>0</v>
      </c>
      <c r="E15" s="4" t="n">
        <f aca="false">SUMIF(peticiones!$E$2:$E$2992, $A15, peticiones!$I$2:$I$2992)</f>
        <v>0</v>
      </c>
      <c r="F15" s="4" t="n">
        <f aca="false">SUM(B15:E15)</f>
        <v>0</v>
      </c>
      <c r="I15" s="1"/>
    </row>
    <row r="16" customFormat="false" ht="14.25" hidden="false" customHeight="false" outlineLevel="0" collapsed="false">
      <c r="A16" s="1" t="s">
        <v>60</v>
      </c>
      <c r="B16" s="4" t="n">
        <f aca="false">SUMIF(peticiones!$E$2:$E$2992, $A16, peticiones!$F$2:$F$2992)</f>
        <v>0</v>
      </c>
      <c r="C16" s="4" t="n">
        <f aca="false">SUMIF(peticiones!$E$2:$E$2992, $A16, peticiones!$G$2:$G$2992)</f>
        <v>0</v>
      </c>
      <c r="D16" s="4" t="n">
        <f aca="false">SUMIF(peticiones!$E$2:$E$2992, $A16, peticiones!$H$2:$H$2992)</f>
        <v>0</v>
      </c>
      <c r="E16" s="4" t="n">
        <f aca="false">SUMIF(peticiones!$E$2:$E$2992, $A16, peticiones!$I$2:$I$2992)</f>
        <v>0</v>
      </c>
      <c r="F16" s="4" t="n">
        <f aca="false">SUM(B16:E16)</f>
        <v>0</v>
      </c>
      <c r="I16" s="1"/>
    </row>
    <row r="17" customFormat="false" ht="14.25" hidden="false" customHeight="false" outlineLevel="0" collapsed="false">
      <c r="A17" s="1" t="s">
        <v>61</v>
      </c>
      <c r="B17" s="4" t="n">
        <f aca="false">SUMIF(peticiones!$E$2:$E$2992, $A17, peticiones!$F$2:$F$2992)</f>
        <v>0</v>
      </c>
      <c r="C17" s="4" t="n">
        <f aca="false">SUMIF(peticiones!$E$2:$E$2992, $A17, peticiones!$G$2:$G$2992)</f>
        <v>0</v>
      </c>
      <c r="D17" s="4" t="n">
        <f aca="false">SUMIF(peticiones!$E$2:$E$2992, $A17, peticiones!$H$2:$H$2992)</f>
        <v>0</v>
      </c>
      <c r="E17" s="4" t="n">
        <f aca="false">SUMIF(peticiones!$E$2:$E$2992, $A17, peticiones!$I$2:$I$2992)</f>
        <v>0</v>
      </c>
      <c r="F17" s="4" t="n">
        <f aca="false">SUM(B17:E17)</f>
        <v>0</v>
      </c>
      <c r="I17" s="1"/>
    </row>
    <row r="18" customFormat="false" ht="14.25" hidden="false" customHeight="false" outlineLevel="0" collapsed="false">
      <c r="I18" s="1"/>
    </row>
    <row r="19" customFormat="false" ht="14.25" hidden="false" customHeight="false" outlineLevel="0" collapsed="false">
      <c r="A19" s="1" t="s">
        <v>62</v>
      </c>
      <c r="B19" s="4" t="n">
        <f aca="false">SUMIF(peticiones!$E$2:$E$2992, $A19, peticiones!$F$2:$F$2992)</f>
        <v>0</v>
      </c>
      <c r="C19" s="4" t="n">
        <f aca="false">SUMIF(peticiones!$E$2:$E$2992, $A19, peticiones!$G$2:$G$2992)</f>
        <v>0</v>
      </c>
      <c r="D19" s="4" t="n">
        <f aca="false">SUMIF(peticiones!$E$2:$E$2992, $A19, peticiones!$H$2:$H$2992)</f>
        <v>0</v>
      </c>
      <c r="E19" s="4" t="n">
        <f aca="false">SUMIF(peticiones!$E$2:$E$2992, $A19, peticiones!$I$2:$I$2992)</f>
        <v>0</v>
      </c>
      <c r="F19" s="4" t="n">
        <f aca="false">SUM(B19:E19)</f>
        <v>0</v>
      </c>
      <c r="G19" s="14" t="s">
        <v>39</v>
      </c>
      <c r="H19" s="12" t="s">
        <v>63</v>
      </c>
      <c r="I19" s="1"/>
    </row>
  </sheetData>
  <autoFilter ref="A1:F1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I70" activeCellId="0" sqref="I70"/>
    </sheetView>
  </sheetViews>
  <sheetFormatPr defaultColWidth="11.5625" defaultRowHeight="13.5" customHeight="true" zeroHeight="false" outlineLevelRow="0" outlineLevelCol="0"/>
  <cols>
    <col collapsed="false" customWidth="true" hidden="false" outlineLevel="0" max="1" min="1" style="15" width="70.33"/>
    <col collapsed="false" customWidth="true" hidden="false" outlineLevel="0" max="2" min="2" style="15" width="15.56"/>
    <col collapsed="false" customWidth="true" hidden="false" outlineLevel="0" max="3" min="3" style="15" width="16.11"/>
    <col collapsed="false" customWidth="true" hidden="false" outlineLevel="0" max="4" min="4" style="15" width="15.88"/>
    <col collapsed="false" customWidth="true" hidden="false" outlineLevel="0" max="5" min="5" style="15" width="16"/>
    <col collapsed="false" customWidth="true" hidden="false" outlineLevel="0" max="6" min="6" style="15" width="12"/>
    <col collapsed="false" customWidth="false" hidden="false" outlineLevel="0" max="16384" min="7" style="15" width="11.56"/>
  </cols>
  <sheetData>
    <row r="1" customFormat="false" ht="13.5" hidden="false" customHeight="false" outlineLevel="0" collapsed="false">
      <c r="A1" s="2" t="s">
        <v>64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14</v>
      </c>
    </row>
    <row r="2" customFormat="false" ht="13.5" hidden="false" customHeight="false" outlineLevel="0" collapsed="false">
      <c r="A2" s="1" t="s">
        <v>65</v>
      </c>
      <c r="B2" s="4" t="n">
        <f aca="false">SUMIF(peticiones!$B$2:$B$2992,$A2, peticiones!$F$2:$F$2992)</f>
        <v>0</v>
      </c>
      <c r="C2" s="4" t="n">
        <f aca="false">SUMIF(peticiones!$B$2:$B$2992,$A2, peticiones!$G$2:$G$2992)</f>
        <v>0</v>
      </c>
      <c r="D2" s="4" t="n">
        <f aca="false">SUMIF(peticiones!$B$2:$B$2992,$A2, peticiones!$H$2:$H$2992)</f>
        <v>0</v>
      </c>
      <c r="E2" s="4" t="n">
        <f aca="false">SUMIF(peticiones!$B$2:$B$2992,$A2, peticiones!$I$2:$I$2992)</f>
        <v>0</v>
      </c>
      <c r="F2" s="4" t="n">
        <f aca="false">E2+D2+C2+B2</f>
        <v>0</v>
      </c>
    </row>
    <row r="3" customFormat="false" ht="13.5" hidden="false" customHeight="false" outlineLevel="0" collapsed="false">
      <c r="A3" s="1" t="s">
        <v>66</v>
      </c>
      <c r="B3" s="4" t="n">
        <f aca="false">SUMIF(peticiones!$B$2:$B$2992,$A3, peticiones!$F$2:$F$2992)</f>
        <v>0</v>
      </c>
      <c r="C3" s="4" t="n">
        <f aca="false">SUMIF(peticiones!$B$2:$B$2992,$A3, peticiones!$G$2:$G$2992)</f>
        <v>0</v>
      </c>
      <c r="D3" s="4" t="n">
        <f aca="false">SUMIF(peticiones!$B$2:$B$2992,$A3, peticiones!$H$2:$H$2992)</f>
        <v>0</v>
      </c>
      <c r="E3" s="4" t="n">
        <f aca="false">SUMIF(peticiones!$B$2:$B$2992,$A3, peticiones!$I$2:$I$2992)</f>
        <v>0</v>
      </c>
      <c r="F3" s="4" t="n">
        <f aca="false">E3+D3+C3+B3</f>
        <v>0</v>
      </c>
    </row>
    <row r="4" customFormat="false" ht="13.5" hidden="false" customHeight="false" outlineLevel="0" collapsed="false">
      <c r="A4" s="1" t="s">
        <v>67</v>
      </c>
      <c r="B4" s="4" t="n">
        <f aca="false">SUMIF(peticiones!$B$2:$B$2992,$A4, peticiones!$F$2:$F$2992)</f>
        <v>0</v>
      </c>
      <c r="C4" s="4" t="n">
        <f aca="false">SUMIF(peticiones!$B$2:$B$2992,$A4, peticiones!$G$2:$G$2992)</f>
        <v>0</v>
      </c>
      <c r="D4" s="4" t="n">
        <f aca="false">SUMIF(peticiones!$B$2:$B$2992,$A4, peticiones!$H$2:$H$2992)</f>
        <v>0</v>
      </c>
      <c r="E4" s="4" t="n">
        <f aca="false">SUMIF(peticiones!$B$2:$B$2992,$A4, peticiones!$I$2:$I$2992)</f>
        <v>0</v>
      </c>
      <c r="F4" s="4" t="n">
        <f aca="false">E4+D4+C4+B4</f>
        <v>0</v>
      </c>
    </row>
    <row r="5" customFormat="false" ht="13.5" hidden="false" customHeight="false" outlineLevel="0" collapsed="false">
      <c r="A5" s="1" t="s">
        <v>68</v>
      </c>
      <c r="B5" s="4" t="n">
        <f aca="false">SUMIF(peticiones!$B$2:$B$2992,$A5, peticiones!$F$2:$F$2992)</f>
        <v>0</v>
      </c>
      <c r="C5" s="4" t="n">
        <f aca="false">SUMIF(peticiones!$B$2:$B$2992,$A5, peticiones!$G$2:$G$2992)</f>
        <v>0</v>
      </c>
      <c r="D5" s="4" t="n">
        <f aca="false">SUMIF(peticiones!$B$2:$B$2992,$A5, peticiones!$H$2:$H$2992)</f>
        <v>0</v>
      </c>
      <c r="E5" s="4" t="n">
        <f aca="false">SUMIF(peticiones!$B$2:$B$2992,$A5, peticiones!$I$2:$I$2992)</f>
        <v>0</v>
      </c>
      <c r="F5" s="4" t="n">
        <f aca="false">E5+D5+C5+B5</f>
        <v>0</v>
      </c>
    </row>
    <row r="6" customFormat="false" ht="13.5" hidden="false" customHeight="false" outlineLevel="0" collapsed="false">
      <c r="A6" s="1" t="s">
        <v>69</v>
      </c>
      <c r="B6" s="4" t="n">
        <f aca="false">SUMIF(peticiones!$B$2:$B$2992,$A6, peticiones!$F$2:$F$2992)</f>
        <v>0</v>
      </c>
      <c r="C6" s="4" t="n">
        <f aca="false">SUMIF(peticiones!$B$2:$B$2992,$A6, peticiones!$G$2:$G$2992)</f>
        <v>0</v>
      </c>
      <c r="D6" s="4" t="n">
        <f aca="false">SUMIF(peticiones!$B$2:$B$2992,$A6, peticiones!$H$2:$H$2992)</f>
        <v>0</v>
      </c>
      <c r="E6" s="4" t="n">
        <f aca="false">SUMIF(peticiones!$B$2:$B$2992,$A6, peticiones!$I$2:$I$2992)</f>
        <v>0</v>
      </c>
      <c r="F6" s="4" t="n">
        <f aca="false">E6+D6+C6+B6</f>
        <v>0</v>
      </c>
    </row>
    <row r="7" customFormat="false" ht="13.5" hidden="false" customHeight="false" outlineLevel="0" collapsed="false">
      <c r="A7" s="1" t="s">
        <v>70</v>
      </c>
      <c r="B7" s="4" t="n">
        <f aca="false">SUMIF(peticiones!$B$2:$B$2992,$A7, peticiones!$F$2:$F$2992)</f>
        <v>0</v>
      </c>
      <c r="C7" s="4" t="n">
        <f aca="false">SUMIF(peticiones!$B$2:$B$2992,$A7, peticiones!$G$2:$G$2992)</f>
        <v>0</v>
      </c>
      <c r="D7" s="4" t="n">
        <f aca="false">SUMIF(peticiones!$B$2:$B$2992,$A7, peticiones!$H$2:$H$2992)</f>
        <v>0</v>
      </c>
      <c r="E7" s="4" t="n">
        <f aca="false">SUMIF(peticiones!$B$2:$B$2992,$A7, peticiones!$I$2:$I$2992)</f>
        <v>0</v>
      </c>
      <c r="F7" s="4" t="n">
        <f aca="false">E7+D7+C7+B7</f>
        <v>0</v>
      </c>
    </row>
    <row r="8" customFormat="false" ht="13.5" hidden="false" customHeight="false" outlineLevel="0" collapsed="false">
      <c r="A8" s="1" t="s">
        <v>71</v>
      </c>
      <c r="B8" s="4" t="n">
        <f aca="false">SUMIF(peticiones!$B$2:$B$2992,$A8, peticiones!$F$2:$F$2992)</f>
        <v>0</v>
      </c>
      <c r="C8" s="4" t="n">
        <f aca="false">SUMIF(peticiones!$B$2:$B$2992,$A8, peticiones!$G$2:$G$2992)</f>
        <v>0</v>
      </c>
      <c r="D8" s="4" t="n">
        <f aca="false">SUMIF(peticiones!$B$2:$B$2992,$A8, peticiones!$H$2:$H$2992)</f>
        <v>0</v>
      </c>
      <c r="E8" s="4" t="n">
        <f aca="false">SUMIF(peticiones!$B$2:$B$2992,$A8, peticiones!$I$2:$I$2992)</f>
        <v>0</v>
      </c>
      <c r="F8" s="4" t="n">
        <f aca="false">E8+D8+C8+B8</f>
        <v>0</v>
      </c>
    </row>
    <row r="9" customFormat="false" ht="13.5" hidden="false" customHeight="false" outlineLevel="0" collapsed="false">
      <c r="A9" s="1" t="s">
        <v>72</v>
      </c>
      <c r="B9" s="4" t="n">
        <f aca="false">SUMIF(peticiones!$B$2:$B$2992,$A9, peticiones!$F$2:$F$2992)</f>
        <v>0</v>
      </c>
      <c r="C9" s="4" t="n">
        <f aca="false">SUMIF(peticiones!$B$2:$B$2992,$A9, peticiones!$G$2:$G$2992)</f>
        <v>0</v>
      </c>
      <c r="D9" s="4" t="n">
        <f aca="false">SUMIF(peticiones!$B$2:$B$2992,$A9, peticiones!$H$2:$H$2992)</f>
        <v>0</v>
      </c>
      <c r="E9" s="4" t="n">
        <f aca="false">SUMIF(peticiones!$B$2:$B$2992,$A9, peticiones!$I$2:$I$2992)</f>
        <v>0</v>
      </c>
      <c r="F9" s="4" t="n">
        <f aca="false">E9+D9+C9+B9</f>
        <v>0</v>
      </c>
    </row>
    <row r="10" customFormat="false" ht="13.5" hidden="false" customHeight="false" outlineLevel="0" collapsed="false">
      <c r="A10" s="1" t="s">
        <v>73</v>
      </c>
      <c r="B10" s="4" t="n">
        <f aca="false">SUMIF(peticiones!$B$2:$B$2992,$A10, peticiones!$F$2:$F$2992)</f>
        <v>0</v>
      </c>
      <c r="C10" s="4" t="n">
        <f aca="false">SUMIF(peticiones!$B$2:$B$2992,$A10, peticiones!$G$2:$G$2992)</f>
        <v>0</v>
      </c>
      <c r="D10" s="4" t="n">
        <f aca="false">SUMIF(peticiones!$B$2:$B$2992,$A10, peticiones!$H$2:$H$2992)</f>
        <v>0</v>
      </c>
      <c r="E10" s="4" t="n">
        <f aca="false">SUMIF(peticiones!$B$2:$B$2992,$A10, peticiones!$I$2:$I$2992)</f>
        <v>0</v>
      </c>
      <c r="F10" s="4" t="n">
        <f aca="false">E10+D10+C10+B10</f>
        <v>0</v>
      </c>
    </row>
    <row r="11" customFormat="false" ht="13.5" hidden="false" customHeight="false" outlineLevel="0" collapsed="false">
      <c r="A11" s="15" t="s">
        <v>74</v>
      </c>
      <c r="B11" s="4" t="n">
        <f aca="false">SUMIF(peticiones!$B$2:$B$2992,$A11, peticiones!$F$2:$F$2992)</f>
        <v>0</v>
      </c>
      <c r="C11" s="4" t="n">
        <f aca="false">SUMIF(peticiones!$B$2:$B$2992,$A11, peticiones!$G$2:$G$2992)</f>
        <v>0</v>
      </c>
      <c r="D11" s="4" t="n">
        <f aca="false">SUMIF(peticiones!$B$2:$B$2992,$A11, peticiones!$H$2:$H$2992)</f>
        <v>0</v>
      </c>
      <c r="E11" s="4" t="n">
        <f aca="false">SUMIF(peticiones!$B$2:$B$2992,$A11, peticiones!$I$2:$I$2992)</f>
        <v>0</v>
      </c>
      <c r="F11" s="4" t="n">
        <f aca="false">E11+D11+C11+B11</f>
        <v>0</v>
      </c>
    </row>
    <row r="12" customFormat="false" ht="13.5" hidden="false" customHeight="false" outlineLevel="0" collapsed="false">
      <c r="A12" s="15" t="s">
        <v>75</v>
      </c>
      <c r="B12" s="4" t="n">
        <f aca="false">SUMIF(peticiones!$B$2:$B$2992,$A12, peticiones!$F$2:$F$2992)</f>
        <v>0</v>
      </c>
      <c r="C12" s="4" t="n">
        <f aca="false">SUMIF(peticiones!$B$2:$B$2992,$A12, peticiones!$G$2:$G$2992)</f>
        <v>0</v>
      </c>
      <c r="D12" s="4" t="n">
        <f aca="false">SUMIF(peticiones!$B$2:$B$2992,$A12, peticiones!$H$2:$H$2992)</f>
        <v>0</v>
      </c>
      <c r="E12" s="4" t="n">
        <f aca="false">SUMIF(peticiones!$B$2:$B$2992,$A12, peticiones!$I$2:$I$2992)</f>
        <v>0</v>
      </c>
      <c r="F12" s="4" t="n">
        <f aca="false">E12+D12+C12+B12</f>
        <v>0</v>
      </c>
    </row>
    <row r="13" customFormat="false" ht="13.5" hidden="false" customHeight="false" outlineLevel="0" collapsed="false">
      <c r="A13" s="15" t="s">
        <v>76</v>
      </c>
      <c r="B13" s="4" t="n">
        <f aca="false">SUMIF(peticiones!$B$2:$B$2992,$A13, peticiones!$F$2:$F$2992)</f>
        <v>0</v>
      </c>
      <c r="C13" s="4" t="n">
        <f aca="false">SUMIF(peticiones!$B$2:$B$2992,$A13, peticiones!$G$2:$G$2992)</f>
        <v>0</v>
      </c>
      <c r="D13" s="4" t="n">
        <f aca="false">SUMIF(peticiones!$B$2:$B$2992,$A13, peticiones!$H$2:$H$2992)</f>
        <v>0</v>
      </c>
      <c r="E13" s="4" t="n">
        <f aca="false">SUMIF(peticiones!$B$2:$B$2992,$A13, peticiones!$I$2:$I$2992)</f>
        <v>0</v>
      </c>
      <c r="F13" s="4" t="n">
        <f aca="false">E13+D13+C13+B13</f>
        <v>0</v>
      </c>
    </row>
    <row r="14" customFormat="false" ht="13.5" hidden="false" customHeight="false" outlineLevel="0" collapsed="false">
      <c r="A14" s="1" t="s">
        <v>77</v>
      </c>
      <c r="B14" s="4" t="n">
        <f aca="false">SUMIF(peticiones!$B$2:$B$2992,$A14, peticiones!$F$2:$F$2992)</f>
        <v>0</v>
      </c>
      <c r="C14" s="4" t="n">
        <f aca="false">SUMIF(peticiones!$B$2:$B$2992,$A14, peticiones!$G$2:$G$2992)</f>
        <v>0</v>
      </c>
      <c r="D14" s="4" t="n">
        <f aca="false">SUMIF(peticiones!$B$2:$B$2992,$A14, peticiones!$H$2:$H$2992)</f>
        <v>0</v>
      </c>
      <c r="E14" s="4" t="n">
        <f aca="false">SUMIF(peticiones!$B$2:$B$2992,$A14, peticiones!$I$2:$I$2992)</f>
        <v>0</v>
      </c>
      <c r="F14" s="4" t="n">
        <f aca="false">E14+D14+C14+B14</f>
        <v>0</v>
      </c>
    </row>
    <row r="15" customFormat="false" ht="13.5" hidden="false" customHeight="false" outlineLevel="0" collapsed="false">
      <c r="A15" s="1" t="s">
        <v>78</v>
      </c>
      <c r="B15" s="4" t="n">
        <f aca="false">SUMIF(peticiones!$B$2:$B$2992,$A15, peticiones!$F$2:$F$2992)</f>
        <v>0</v>
      </c>
      <c r="C15" s="4" t="n">
        <f aca="false">SUMIF(peticiones!$B$2:$B$2992,$A15, peticiones!$G$2:$G$2992)</f>
        <v>0</v>
      </c>
      <c r="D15" s="4" t="n">
        <f aca="false">SUMIF(peticiones!$B$2:$B$2992,$A15, peticiones!$H$2:$H$2992)</f>
        <v>0</v>
      </c>
      <c r="E15" s="4" t="n">
        <f aca="false">SUMIF(peticiones!$B$2:$B$2992,$A15, peticiones!$I$2:$I$2992)</f>
        <v>0</v>
      </c>
      <c r="F15" s="4" t="n">
        <f aca="false">E15+D15+C15+B15</f>
        <v>0</v>
      </c>
    </row>
    <row r="16" customFormat="false" ht="13.5" hidden="false" customHeight="false" outlineLevel="0" collapsed="false">
      <c r="A16" s="1" t="s">
        <v>79</v>
      </c>
      <c r="B16" s="4" t="n">
        <f aca="false">SUMIF(peticiones!$B$2:$B$2992,$A16, peticiones!$F$2:$F$2992)</f>
        <v>0</v>
      </c>
      <c r="C16" s="4" t="n">
        <f aca="false">SUMIF(peticiones!$B$2:$B$2992,$A16, peticiones!$G$2:$G$2992)</f>
        <v>0</v>
      </c>
      <c r="D16" s="4" t="n">
        <f aca="false">SUMIF(peticiones!$B$2:$B$2992,$A16, peticiones!$H$2:$H$2992)</f>
        <v>0</v>
      </c>
      <c r="E16" s="4" t="n">
        <f aca="false">SUMIF(peticiones!$B$2:$B$2992,$A16, peticiones!$I$2:$I$2992)</f>
        <v>0</v>
      </c>
      <c r="F16" s="4" t="n">
        <f aca="false">E16+D16+C16+B16</f>
        <v>0</v>
      </c>
    </row>
    <row r="17" customFormat="false" ht="13.5" hidden="false" customHeight="false" outlineLevel="0" collapsed="false">
      <c r="A17" s="1" t="s">
        <v>80</v>
      </c>
      <c r="B17" s="4" t="n">
        <f aca="false">SUMIF(peticiones!$B$2:$B$2992,$A17, peticiones!$F$2:$F$2992)</f>
        <v>0</v>
      </c>
      <c r="C17" s="4" t="n">
        <f aca="false">SUMIF(peticiones!$B$2:$B$2992,$A17, peticiones!$G$2:$G$2992)</f>
        <v>0</v>
      </c>
      <c r="D17" s="4" t="n">
        <f aca="false">SUMIF(peticiones!$B$2:$B$2992,$A17, peticiones!$H$2:$H$2992)</f>
        <v>0</v>
      </c>
      <c r="E17" s="4" t="n">
        <f aca="false">SUMIF(peticiones!$B$2:$B$2992,$A17, peticiones!$I$2:$I$2992)</f>
        <v>0</v>
      </c>
      <c r="F17" s="4" t="n">
        <f aca="false">E17+D17+C17+B17</f>
        <v>0</v>
      </c>
    </row>
    <row r="18" customFormat="false" ht="13.5" hidden="false" customHeight="false" outlineLevel="0" collapsed="false">
      <c r="A18" s="1" t="s">
        <v>81</v>
      </c>
      <c r="B18" s="4" t="n">
        <f aca="false">SUMIF(peticiones!$B$2:$B$2992,$A18, peticiones!$F$2:$F$2992)</f>
        <v>0</v>
      </c>
      <c r="C18" s="4" t="n">
        <f aca="false">SUMIF(peticiones!$B$2:$B$2992,$A18, peticiones!$G$2:$G$2992)</f>
        <v>0</v>
      </c>
      <c r="D18" s="4" t="n">
        <f aca="false">SUMIF(peticiones!$B$2:$B$2992,$A18, peticiones!$H$2:$H$2992)</f>
        <v>0</v>
      </c>
      <c r="E18" s="4" t="n">
        <f aca="false">SUMIF(peticiones!$B$2:$B$2992,$A18, peticiones!$I$2:$I$2992)</f>
        <v>0</v>
      </c>
      <c r="F18" s="4" t="n">
        <f aca="false">E18+D18+C18+B18</f>
        <v>0</v>
      </c>
    </row>
    <row r="19" customFormat="false" ht="13.5" hidden="false" customHeight="false" outlineLevel="0" collapsed="false">
      <c r="A19" s="1" t="s">
        <v>82</v>
      </c>
      <c r="B19" s="4" t="n">
        <f aca="false">SUMIF(peticiones!$B$2:$B$2992,$A19, peticiones!$F$2:$F$2992)</f>
        <v>0</v>
      </c>
      <c r="C19" s="4" t="n">
        <f aca="false">SUMIF(peticiones!$B$2:$B$2992,$A19, peticiones!$G$2:$G$2992)</f>
        <v>0</v>
      </c>
      <c r="D19" s="4" t="n">
        <f aca="false">SUMIF(peticiones!$B$2:$B$2992,$A19, peticiones!$H$2:$H$2992)</f>
        <v>0</v>
      </c>
      <c r="E19" s="4" t="n">
        <f aca="false">SUMIF(peticiones!$B$2:$B$2992,$A19, peticiones!$I$2:$I$2992)</f>
        <v>0</v>
      </c>
      <c r="F19" s="4" t="n">
        <f aca="false">E19+D19+C19+B19</f>
        <v>0</v>
      </c>
    </row>
    <row r="20" customFormat="false" ht="13.5" hidden="false" customHeight="false" outlineLevel="0" collapsed="false">
      <c r="A20" s="15" t="s">
        <v>83</v>
      </c>
      <c r="B20" s="4" t="n">
        <f aca="false">SUMIF(peticiones!$B$2:$B$2992,$A20, peticiones!$F$2:$F$2992)</f>
        <v>0</v>
      </c>
      <c r="C20" s="4" t="n">
        <f aca="false">SUMIF(peticiones!$B$2:$B$2992,$A20, peticiones!$G$2:$G$2992)</f>
        <v>0</v>
      </c>
      <c r="D20" s="4" t="n">
        <f aca="false">SUMIF(peticiones!$B$2:$B$2992,$A20, peticiones!$H$2:$H$2992)</f>
        <v>0</v>
      </c>
      <c r="E20" s="4" t="n">
        <f aca="false">SUMIF(peticiones!$B$2:$B$2992,$A20, peticiones!$I$2:$I$2992)</f>
        <v>0</v>
      </c>
      <c r="F20" s="4" t="n">
        <f aca="false">E20+D20+C20+B20</f>
        <v>0</v>
      </c>
    </row>
    <row r="21" customFormat="false" ht="13.5" hidden="false" customHeight="false" outlineLevel="0" collapsed="false">
      <c r="A21" s="15" t="s">
        <v>84</v>
      </c>
      <c r="B21" s="4" t="n">
        <f aca="false">SUMIF(peticiones!$B$2:$B$2992,$A21, peticiones!$F$2:$F$2992)</f>
        <v>0</v>
      </c>
      <c r="C21" s="4" t="n">
        <f aca="false">SUMIF(peticiones!$B$2:$B$2992,$A21, peticiones!$G$2:$G$2992)</f>
        <v>0</v>
      </c>
      <c r="D21" s="4" t="n">
        <f aca="false">SUMIF(peticiones!$B$2:$B$2992,$A21, peticiones!$H$2:$H$2992)</f>
        <v>0</v>
      </c>
      <c r="E21" s="4" t="n">
        <f aca="false">SUMIF(peticiones!$B$2:$B$2992,$A21, peticiones!$I$2:$I$2992)</f>
        <v>0</v>
      </c>
      <c r="F21" s="4" t="n">
        <f aca="false">E21+D21+C21+B21</f>
        <v>0</v>
      </c>
    </row>
    <row r="22" customFormat="false" ht="13.5" hidden="false" customHeight="false" outlineLevel="0" collapsed="false">
      <c r="A22" s="1" t="s">
        <v>22</v>
      </c>
      <c r="B22" s="4" t="n">
        <f aca="false">SUMIF(peticiones!$B$2:$B$2992,$A22, peticiones!$F$2:$F$2992)</f>
        <v>0</v>
      </c>
      <c r="C22" s="4" t="n">
        <f aca="false">SUMIF(peticiones!$B$2:$B$2992,$A22, peticiones!$G$2:$G$2992)</f>
        <v>0</v>
      </c>
      <c r="D22" s="4" t="n">
        <f aca="false">SUMIF(peticiones!$B$2:$B$2992,$A22, peticiones!$H$2:$H$2992)</f>
        <v>0</v>
      </c>
      <c r="E22" s="4" t="n">
        <f aca="false">SUMIF(peticiones!$B$2:$B$2992,$A22, peticiones!$I$2:$I$2992)</f>
        <v>0</v>
      </c>
      <c r="F22" s="4" t="n">
        <f aca="false">E22+D22+C22+B22</f>
        <v>0</v>
      </c>
    </row>
    <row r="23" customFormat="false" ht="13.5" hidden="false" customHeight="false" outlineLevel="0" collapsed="false">
      <c r="A23" s="1" t="s">
        <v>85</v>
      </c>
      <c r="B23" s="4" t="n">
        <f aca="false">SUMIF(peticiones!$B$2:$B$2992,$A23, peticiones!$F$2:$F$2992)</f>
        <v>0</v>
      </c>
      <c r="C23" s="4" t="n">
        <f aca="false">SUMIF(peticiones!$B$2:$B$2992,$A23, peticiones!$G$2:$G$2992)</f>
        <v>0</v>
      </c>
      <c r="D23" s="4" t="n">
        <f aca="false">SUMIF(peticiones!$B$2:$B$2992,$A23, peticiones!$H$2:$H$2992)</f>
        <v>0</v>
      </c>
      <c r="E23" s="4" t="n">
        <f aca="false">SUMIF(peticiones!$B$2:$B$2992,$A23, peticiones!$I$2:$I$2992)</f>
        <v>0</v>
      </c>
      <c r="F23" s="4" t="n">
        <f aca="false">E23+D23+C23+B23</f>
        <v>0</v>
      </c>
    </row>
    <row r="24" customFormat="false" ht="13.5" hidden="false" customHeight="false" outlineLevel="0" collapsed="false">
      <c r="A24" s="15" t="s">
        <v>86</v>
      </c>
      <c r="B24" s="4" t="n">
        <f aca="false">SUMIF(peticiones!$B$2:$B$2992,$A24, peticiones!$F$2:$F$2992)</f>
        <v>0</v>
      </c>
      <c r="C24" s="4" t="n">
        <f aca="false">SUMIF(peticiones!$B$2:$B$2992,$A24, peticiones!$G$2:$G$2992)</f>
        <v>0</v>
      </c>
      <c r="D24" s="4" t="n">
        <f aca="false">SUMIF(peticiones!$B$2:$B$2992,$A24, peticiones!$H$2:$H$2992)</f>
        <v>0</v>
      </c>
      <c r="E24" s="4" t="n">
        <f aca="false">SUMIF(peticiones!$B$2:$B$2992,$A24, peticiones!$I$2:$I$2992)</f>
        <v>0</v>
      </c>
      <c r="F24" s="4" t="n">
        <f aca="false">E24+D24+C24+B24</f>
        <v>0</v>
      </c>
    </row>
    <row r="25" customFormat="false" ht="13.5" hidden="false" customHeight="false" outlineLevel="0" collapsed="false">
      <c r="A25" s="1" t="s">
        <v>87</v>
      </c>
      <c r="B25" s="4" t="n">
        <f aca="false">SUMIF(peticiones!$B$2:$B$2992,$A25, peticiones!$F$2:$F$2992)</f>
        <v>0</v>
      </c>
      <c r="C25" s="4" t="n">
        <f aca="false">SUMIF(peticiones!$B$2:$B$2992,$A25, peticiones!$G$2:$G$2992)</f>
        <v>0</v>
      </c>
      <c r="D25" s="4" t="n">
        <f aca="false">SUMIF(peticiones!$B$2:$B$2992,$A25, peticiones!$H$2:$H$2992)</f>
        <v>0</v>
      </c>
      <c r="E25" s="4" t="n">
        <f aca="false">SUMIF(peticiones!$B$2:$B$2992,$A25, peticiones!$I$2:$I$2992)</f>
        <v>0</v>
      </c>
      <c r="F25" s="4" t="n">
        <f aca="false">E25+D25+C25+B25</f>
        <v>0</v>
      </c>
    </row>
    <row r="26" customFormat="false" ht="13.5" hidden="false" customHeight="false" outlineLevel="0" collapsed="false">
      <c r="A26" s="1" t="s">
        <v>88</v>
      </c>
      <c r="B26" s="4" t="n">
        <f aca="false">SUMIF(peticiones!$B$2:$B$2992,$A26, peticiones!$F$2:$F$2992)</f>
        <v>0</v>
      </c>
      <c r="C26" s="4" t="n">
        <f aca="false">SUMIF(peticiones!$B$2:$B$2992,$A26, peticiones!$G$2:$G$2992)</f>
        <v>0</v>
      </c>
      <c r="D26" s="4" t="n">
        <f aca="false">SUMIF(peticiones!$B$2:$B$2992,$A26, peticiones!$H$2:$H$2992)</f>
        <v>0</v>
      </c>
      <c r="E26" s="4" t="n">
        <f aca="false">SUMIF(peticiones!$B$2:$B$2992,$A26, peticiones!$I$2:$I$2992)</f>
        <v>0</v>
      </c>
      <c r="F26" s="4" t="n">
        <f aca="false">E26+D26+C26+B26</f>
        <v>0</v>
      </c>
    </row>
    <row r="27" customFormat="false" ht="13.5" hidden="false" customHeight="false" outlineLevel="0" collapsed="false">
      <c r="A27" s="1" t="s">
        <v>89</v>
      </c>
      <c r="B27" s="4" t="n">
        <f aca="false">SUMIF(peticiones!$B$2:$B$2992,$A27, peticiones!$F$2:$F$2992)</f>
        <v>0</v>
      </c>
      <c r="C27" s="4" t="n">
        <f aca="false">SUMIF(peticiones!$B$2:$B$2992,$A27, peticiones!$G$2:$G$2992)</f>
        <v>0</v>
      </c>
      <c r="D27" s="4" t="n">
        <f aca="false">SUMIF(peticiones!$B$2:$B$2992,$A27, peticiones!$H$2:$H$2992)</f>
        <v>0</v>
      </c>
      <c r="E27" s="4" t="n">
        <f aca="false">SUMIF(peticiones!$B$2:$B$2992,$A27, peticiones!$I$2:$I$2992)</f>
        <v>0</v>
      </c>
      <c r="F27" s="4" t="n">
        <f aca="false">E27+D27+C27+B27</f>
        <v>0</v>
      </c>
    </row>
    <row r="28" customFormat="false" ht="13.5" hidden="false" customHeight="false" outlineLevel="0" collapsed="false">
      <c r="A28" s="1" t="s">
        <v>90</v>
      </c>
      <c r="B28" s="4" t="n">
        <f aca="false">SUMIF(peticiones!$B$2:$B$2992,$A28, peticiones!$F$2:$F$2992)</f>
        <v>0</v>
      </c>
      <c r="C28" s="4" t="n">
        <f aca="false">SUMIF(peticiones!$B$2:$B$2992,$A28, peticiones!$G$2:$G$2992)</f>
        <v>0</v>
      </c>
      <c r="D28" s="4" t="n">
        <f aca="false">SUMIF(peticiones!$B$2:$B$2992,$A28, peticiones!$H$2:$H$2992)</f>
        <v>0</v>
      </c>
      <c r="E28" s="4" t="n">
        <f aca="false">SUMIF(peticiones!$B$2:$B$2992,$A28, peticiones!$I$2:$I$2992)</f>
        <v>0</v>
      </c>
      <c r="F28" s="4" t="n">
        <f aca="false">E28+D28+C28+B28</f>
        <v>0</v>
      </c>
    </row>
    <row r="29" customFormat="false" ht="13.5" hidden="false" customHeight="false" outlineLevel="0" collapsed="false">
      <c r="A29" s="1" t="s">
        <v>91</v>
      </c>
      <c r="B29" s="4" t="n">
        <f aca="false">SUMIF(peticiones!$B$2:$B$2992,$A29, peticiones!$F$2:$F$2992)</f>
        <v>0</v>
      </c>
      <c r="C29" s="4" t="n">
        <f aca="false">SUMIF(peticiones!$B$2:$B$2992,$A29, peticiones!$G$2:$G$2992)</f>
        <v>0</v>
      </c>
      <c r="D29" s="4" t="n">
        <f aca="false">SUMIF(peticiones!$B$2:$B$2992,$A29, peticiones!$H$2:$H$2992)</f>
        <v>0</v>
      </c>
      <c r="E29" s="4" t="n">
        <f aca="false">SUMIF(peticiones!$B$2:$B$2992,$A29, peticiones!$I$2:$I$2992)</f>
        <v>0</v>
      </c>
      <c r="F29" s="4" t="n">
        <f aca="false">E29+D29+C29+B29</f>
        <v>0</v>
      </c>
    </row>
    <row r="30" customFormat="false" ht="13.5" hidden="false" customHeight="false" outlineLevel="0" collapsed="false">
      <c r="A30" s="1" t="s">
        <v>92</v>
      </c>
      <c r="B30" s="4" t="n">
        <f aca="false">SUMIF(peticiones!$B$2:$B$2992,$A30, peticiones!$F$2:$F$2992)</f>
        <v>0</v>
      </c>
      <c r="C30" s="4" t="n">
        <f aca="false">SUMIF(peticiones!$B$2:$B$2992,$A30, peticiones!$G$2:$G$2992)</f>
        <v>0</v>
      </c>
      <c r="D30" s="4" t="n">
        <f aca="false">SUMIF(peticiones!$B$2:$B$2992,$A30, peticiones!$H$2:$H$2992)</f>
        <v>0</v>
      </c>
      <c r="E30" s="4" t="n">
        <f aca="false">SUMIF(peticiones!$B$2:$B$2992,$A30, peticiones!$I$2:$I$2992)</f>
        <v>0</v>
      </c>
      <c r="F30" s="4" t="n">
        <f aca="false">E30+D30+C30+B30</f>
        <v>0</v>
      </c>
    </row>
    <row r="31" customFormat="false" ht="13.5" hidden="false" customHeight="false" outlineLevel="0" collapsed="false">
      <c r="A31" s="1" t="s">
        <v>93</v>
      </c>
      <c r="B31" s="4" t="n">
        <f aca="false">SUMIF(peticiones!$B$2:$B$2992,$A31, peticiones!$F$2:$F$2992)</f>
        <v>0</v>
      </c>
      <c r="C31" s="4" t="n">
        <f aca="false">SUMIF(peticiones!$B$2:$B$2992,$A31, peticiones!$G$2:$G$2992)</f>
        <v>0</v>
      </c>
      <c r="D31" s="4" t="n">
        <f aca="false">SUMIF(peticiones!$B$2:$B$2992,$A31, peticiones!$H$2:$H$2992)</f>
        <v>0</v>
      </c>
      <c r="E31" s="4" t="n">
        <f aca="false">SUMIF(peticiones!$B$2:$B$2992,$A31, peticiones!$I$2:$I$2992)</f>
        <v>0</v>
      </c>
      <c r="F31" s="4" t="n">
        <f aca="false">E31+D31+C31+B31</f>
        <v>0</v>
      </c>
    </row>
    <row r="32" customFormat="false" ht="13.5" hidden="false" customHeight="false" outlineLevel="0" collapsed="false">
      <c r="A32" s="15" t="s">
        <v>94</v>
      </c>
      <c r="B32" s="4" t="n">
        <f aca="false">SUMIF(peticiones!$B$2:$B$2992,$A32, peticiones!$F$2:$F$2992)</f>
        <v>0</v>
      </c>
      <c r="C32" s="4" t="n">
        <f aca="false">SUMIF(peticiones!$B$2:$B$2992,$A32, peticiones!$G$2:$G$2992)</f>
        <v>0</v>
      </c>
      <c r="D32" s="4" t="n">
        <f aca="false">SUMIF(peticiones!$B$2:$B$2992,$A32, peticiones!$H$2:$H$2992)</f>
        <v>0</v>
      </c>
      <c r="E32" s="4" t="n">
        <f aca="false">SUMIF(peticiones!$B$2:$B$2992,$A32, peticiones!$I$2:$I$2992)</f>
        <v>0</v>
      </c>
      <c r="F32" s="4" t="n">
        <f aca="false">E32+D32+C32+B32</f>
        <v>0</v>
      </c>
    </row>
    <row r="33" customFormat="false" ht="13.5" hidden="false" customHeight="false" outlineLevel="0" collapsed="false">
      <c r="A33" s="15" t="s">
        <v>95</v>
      </c>
      <c r="B33" s="4" t="n">
        <f aca="false">SUMIF(peticiones!$B$2:$B$2992,$A33, peticiones!$F$2:$F$2992)</f>
        <v>0</v>
      </c>
      <c r="C33" s="4" t="n">
        <f aca="false">SUMIF(peticiones!$B$2:$B$2992,$A33, peticiones!$G$2:$G$2992)</f>
        <v>0</v>
      </c>
      <c r="D33" s="4" t="n">
        <f aca="false">SUMIF(peticiones!$B$2:$B$2992,$A33, peticiones!$H$2:$H$2992)</f>
        <v>0</v>
      </c>
      <c r="E33" s="4" t="n">
        <f aca="false">SUMIF(peticiones!$B$2:$B$2992,$A33, peticiones!$I$2:$I$2992)</f>
        <v>0</v>
      </c>
      <c r="F33" s="4" t="n">
        <f aca="false">E33+D33+C33+B33</f>
        <v>0</v>
      </c>
    </row>
    <row r="34" customFormat="false" ht="13.5" hidden="false" customHeight="false" outlineLevel="0" collapsed="false">
      <c r="A34" s="1" t="s">
        <v>96</v>
      </c>
      <c r="B34" s="4" t="n">
        <f aca="false">SUMIF(peticiones!$B$2:$B$2992,$A34, peticiones!$F$2:$F$2992)</f>
        <v>0</v>
      </c>
      <c r="C34" s="4" t="n">
        <f aca="false">SUMIF(peticiones!$B$2:$B$2992,$A34, peticiones!$G$2:$G$2992)</f>
        <v>0</v>
      </c>
      <c r="D34" s="4" t="n">
        <f aca="false">SUMIF(peticiones!$B$2:$B$2992,$A34, peticiones!$H$2:$H$2992)</f>
        <v>0</v>
      </c>
      <c r="E34" s="4" t="n">
        <f aca="false">SUMIF(peticiones!$B$2:$B$2992,$A34, peticiones!$I$2:$I$2992)</f>
        <v>0</v>
      </c>
      <c r="F34" s="4" t="n">
        <f aca="false">E34+D34+C34+B34</f>
        <v>0</v>
      </c>
    </row>
    <row r="35" customFormat="false" ht="13.5" hidden="false" customHeight="false" outlineLevel="0" collapsed="false">
      <c r="A35" s="1" t="s">
        <v>97</v>
      </c>
      <c r="B35" s="4" t="n">
        <f aca="false">SUMIF(peticiones!$B$2:$B$2992,$A35, peticiones!$F$2:$F$2992)</f>
        <v>0</v>
      </c>
      <c r="C35" s="4" t="n">
        <f aca="false">SUMIF(peticiones!$B$2:$B$2992,$A35, peticiones!$G$2:$G$2992)</f>
        <v>0</v>
      </c>
      <c r="D35" s="4" t="n">
        <f aca="false">SUMIF(peticiones!$B$2:$B$2992,$A35, peticiones!$H$2:$H$2992)</f>
        <v>0</v>
      </c>
      <c r="E35" s="4" t="n">
        <f aca="false">SUMIF(peticiones!$B$2:$B$2992,$A35, peticiones!$I$2:$I$2992)</f>
        <v>0</v>
      </c>
      <c r="F35" s="4" t="n">
        <f aca="false">E35+D35+C35+B35</f>
        <v>0</v>
      </c>
    </row>
    <row r="36" customFormat="false" ht="13.5" hidden="false" customHeight="false" outlineLevel="0" collapsed="false">
      <c r="A36" s="1" t="s">
        <v>98</v>
      </c>
      <c r="B36" s="4" t="n">
        <f aca="false">SUMIF(peticiones!$B$2:$B$2992,$A36, peticiones!$F$2:$F$2992)</f>
        <v>0</v>
      </c>
      <c r="C36" s="4" t="n">
        <f aca="false">SUMIF(peticiones!$B$2:$B$2992,$A36, peticiones!$G$2:$G$2992)</f>
        <v>0</v>
      </c>
      <c r="D36" s="4" t="n">
        <f aca="false">SUMIF(peticiones!$B$2:$B$2992,$A36, peticiones!$H$2:$H$2992)</f>
        <v>0</v>
      </c>
      <c r="E36" s="4" t="n">
        <f aca="false">SUMIF(peticiones!$B$2:$B$2992,$A36, peticiones!$I$2:$I$2992)</f>
        <v>0</v>
      </c>
      <c r="F36" s="4" t="n">
        <f aca="false">E36+D36+C36+B36</f>
        <v>0</v>
      </c>
    </row>
    <row r="37" customFormat="false" ht="13.5" hidden="false" customHeight="false" outlineLevel="0" collapsed="false">
      <c r="A37" s="1" t="s">
        <v>99</v>
      </c>
      <c r="B37" s="4" t="n">
        <f aca="false">SUMIF(peticiones!$B$2:$B$2992,$A37, peticiones!$F$2:$F$2992)</f>
        <v>0</v>
      </c>
      <c r="C37" s="4" t="n">
        <f aca="false">SUMIF(peticiones!$B$2:$B$2992,$A37, peticiones!$G$2:$G$2992)</f>
        <v>0</v>
      </c>
      <c r="D37" s="4" t="n">
        <f aca="false">SUMIF(peticiones!$B$2:$B$2992,$A37, peticiones!$H$2:$H$2992)</f>
        <v>0</v>
      </c>
      <c r="E37" s="4" t="n">
        <f aca="false">SUMIF(peticiones!$B$2:$B$2992,$A37, peticiones!$I$2:$I$2992)</f>
        <v>0</v>
      </c>
      <c r="F37" s="4" t="n">
        <f aca="false">E37+D37+C37+B37</f>
        <v>0</v>
      </c>
    </row>
    <row r="38" customFormat="false" ht="13.5" hidden="false" customHeight="false" outlineLevel="0" collapsed="false">
      <c r="A38" s="1" t="s">
        <v>100</v>
      </c>
      <c r="B38" s="4" t="n">
        <f aca="false">SUMIF(peticiones!$B$2:$B$2992,$A38, peticiones!$F$2:$F$2992)</f>
        <v>0</v>
      </c>
      <c r="C38" s="4" t="n">
        <f aca="false">SUMIF(peticiones!$B$2:$B$2992,$A38, peticiones!$G$2:$G$2992)</f>
        <v>0</v>
      </c>
      <c r="D38" s="4" t="n">
        <f aca="false">SUMIF(peticiones!$B$2:$B$2992,$A38, peticiones!$H$2:$H$2992)</f>
        <v>0</v>
      </c>
      <c r="E38" s="4" t="n">
        <f aca="false">SUMIF(peticiones!$B$2:$B$2992,$A38, peticiones!$I$2:$I$2992)</f>
        <v>0</v>
      </c>
      <c r="F38" s="4" t="n">
        <f aca="false">E38+D38+C38+B38</f>
        <v>0</v>
      </c>
    </row>
    <row r="39" customFormat="false" ht="13.5" hidden="false" customHeight="false" outlineLevel="0" collapsed="false">
      <c r="A39" s="1" t="s">
        <v>101</v>
      </c>
      <c r="B39" s="4" t="n">
        <f aca="false">SUMIF(peticiones!$B$2:$B$2992,$A39, peticiones!$F$2:$F$2992)</f>
        <v>0</v>
      </c>
      <c r="C39" s="4" t="n">
        <f aca="false">SUMIF(peticiones!$B$2:$B$2992,$A39, peticiones!$G$2:$G$2992)</f>
        <v>0</v>
      </c>
      <c r="D39" s="4" t="n">
        <f aca="false">SUMIF(peticiones!$B$2:$B$2992,$A39, peticiones!$H$2:$H$2992)</f>
        <v>0</v>
      </c>
      <c r="E39" s="4" t="n">
        <f aca="false">SUMIF(peticiones!$B$2:$B$2992,$A39, peticiones!$I$2:$I$2992)</f>
        <v>0</v>
      </c>
      <c r="F39" s="4" t="n">
        <f aca="false">E39+D39+C39+B39</f>
        <v>0</v>
      </c>
    </row>
    <row r="40" customFormat="false" ht="13.5" hidden="false" customHeight="false" outlineLevel="0" collapsed="false">
      <c r="A40" s="1" t="s">
        <v>102</v>
      </c>
      <c r="B40" s="4" t="n">
        <f aca="false">SUMIF(peticiones!$B$2:$B$2992,$A40, peticiones!$F$2:$F$2992)</f>
        <v>0</v>
      </c>
      <c r="C40" s="4" t="n">
        <f aca="false">SUMIF(peticiones!$B$2:$B$2992,$A40, peticiones!$G$2:$G$2992)</f>
        <v>0</v>
      </c>
      <c r="D40" s="4" t="n">
        <f aca="false">SUMIF(peticiones!$B$2:$B$2992,$A40, peticiones!$H$2:$H$2992)</f>
        <v>0</v>
      </c>
      <c r="E40" s="4" t="n">
        <f aca="false">SUMIF(peticiones!$B$2:$B$2992,$A40, peticiones!$I$2:$I$2992)</f>
        <v>0</v>
      </c>
      <c r="F40" s="4" t="n">
        <f aca="false">E40+D40+C40+B40</f>
        <v>0</v>
      </c>
    </row>
    <row r="41" customFormat="false" ht="13.5" hidden="false" customHeight="false" outlineLevel="0" collapsed="false">
      <c r="A41" s="1" t="s">
        <v>103</v>
      </c>
      <c r="B41" s="4" t="n">
        <f aca="false">SUMIF(peticiones!$B$2:$B$2992,$A41, peticiones!$F$2:$F$2992)</f>
        <v>0</v>
      </c>
      <c r="C41" s="4" t="n">
        <f aca="false">SUMIF(peticiones!$B$2:$B$2992,$A41, peticiones!$G$2:$G$2992)</f>
        <v>0</v>
      </c>
      <c r="D41" s="4" t="n">
        <f aca="false">SUMIF(peticiones!$B$2:$B$2992,$A41, peticiones!$H$2:$H$2992)</f>
        <v>0</v>
      </c>
      <c r="E41" s="4" t="n">
        <f aca="false">SUMIF(peticiones!$B$2:$B$2992,$A41, peticiones!$I$2:$I$2992)</f>
        <v>0</v>
      </c>
      <c r="F41" s="4" t="n">
        <f aca="false">E41+D41+C41+B41</f>
        <v>0</v>
      </c>
    </row>
    <row r="42" customFormat="false" ht="13.5" hidden="false" customHeight="false" outlineLevel="0" collapsed="false">
      <c r="A42" s="1" t="s">
        <v>104</v>
      </c>
      <c r="B42" s="4" t="n">
        <f aca="false">SUMIF(peticiones!$B$2:$B$2992,$A42, peticiones!$F$2:$F$2992)</f>
        <v>0</v>
      </c>
      <c r="C42" s="4" t="n">
        <f aca="false">SUMIF(peticiones!$B$2:$B$2992,$A42, peticiones!$G$2:$G$2992)</f>
        <v>0</v>
      </c>
      <c r="D42" s="4" t="n">
        <f aca="false">SUMIF(peticiones!$B$2:$B$2992,$A42, peticiones!$H$2:$H$2992)</f>
        <v>0</v>
      </c>
      <c r="E42" s="4" t="n">
        <f aca="false">SUMIF(peticiones!$B$2:$B$2992,$A42, peticiones!$I$2:$I$2992)</f>
        <v>0</v>
      </c>
      <c r="F42" s="4" t="n">
        <f aca="false">E42+D42+C42+B42</f>
        <v>0</v>
      </c>
    </row>
    <row r="43" customFormat="false" ht="13.5" hidden="false" customHeight="false" outlineLevel="0" collapsed="false">
      <c r="A43" s="1" t="s">
        <v>105</v>
      </c>
      <c r="B43" s="4" t="n">
        <f aca="false">SUMIF(peticiones!$B$2:$B$2992,$A43, peticiones!$F$2:$F$2992)</f>
        <v>0</v>
      </c>
      <c r="C43" s="4" t="n">
        <f aca="false">SUMIF(peticiones!$B$2:$B$2992,$A43, peticiones!$G$2:$G$2992)</f>
        <v>0</v>
      </c>
      <c r="D43" s="4" t="n">
        <f aca="false">SUMIF(peticiones!$B$2:$B$2992,$A43, peticiones!$H$2:$H$2992)</f>
        <v>0</v>
      </c>
      <c r="E43" s="4" t="n">
        <f aca="false">SUMIF(peticiones!$B$2:$B$2992,$A43, peticiones!$I$2:$I$2992)</f>
        <v>0</v>
      </c>
      <c r="F43" s="4" t="n">
        <f aca="false">E43+D43+C43+B43</f>
        <v>0</v>
      </c>
    </row>
    <row r="44" customFormat="false" ht="13.5" hidden="false" customHeight="false" outlineLevel="0" collapsed="false">
      <c r="A44" s="1" t="s">
        <v>106</v>
      </c>
      <c r="B44" s="4" t="n">
        <f aca="false">SUMIF(peticiones!$B$2:$B$2992,$A44, peticiones!$F$2:$F$2992)</f>
        <v>0</v>
      </c>
      <c r="C44" s="4" t="n">
        <f aca="false">SUMIF(peticiones!$B$2:$B$2992,$A44, peticiones!$G$2:$G$2992)</f>
        <v>0</v>
      </c>
      <c r="D44" s="4" t="n">
        <f aca="false">SUMIF(peticiones!$B$2:$B$2992,$A44, peticiones!$H$2:$H$2992)</f>
        <v>0</v>
      </c>
      <c r="E44" s="4" t="n">
        <f aca="false">SUMIF(peticiones!$B$2:$B$2992,$A44, peticiones!$I$2:$I$2992)</f>
        <v>0</v>
      </c>
      <c r="F44" s="4" t="n">
        <f aca="false">E44+D44+C44+B44</f>
        <v>0</v>
      </c>
    </row>
    <row r="45" customFormat="false" ht="13.5" hidden="false" customHeight="false" outlineLevel="0" collapsed="false">
      <c r="A45" s="15" t="s">
        <v>107</v>
      </c>
      <c r="B45" s="4" t="n">
        <f aca="false">SUMIF(peticiones!$B$2:$B$2992,$A45, peticiones!$F$2:$F$2992)</f>
        <v>0</v>
      </c>
      <c r="C45" s="4" t="n">
        <f aca="false">SUMIF(peticiones!$B$2:$B$2992,$A45, peticiones!$G$2:$G$2992)</f>
        <v>0</v>
      </c>
      <c r="D45" s="4" t="n">
        <f aca="false">SUMIF(peticiones!$B$2:$B$2992,$A45, peticiones!$H$2:$H$2992)</f>
        <v>0</v>
      </c>
      <c r="E45" s="4" t="n">
        <f aca="false">SUMIF(peticiones!$B$2:$B$2992,$A45, peticiones!$I$2:$I$2992)</f>
        <v>0</v>
      </c>
      <c r="F45" s="4" t="n">
        <f aca="false">E45+D45+C45+B45</f>
        <v>0</v>
      </c>
    </row>
    <row r="46" customFormat="false" ht="13.5" hidden="false" customHeight="false" outlineLevel="0" collapsed="false">
      <c r="A46" s="1" t="s">
        <v>108</v>
      </c>
      <c r="B46" s="4" t="n">
        <f aca="false">SUMIF(peticiones!$B$2:$B$2992,$A46, peticiones!$F$2:$F$2992)</f>
        <v>0</v>
      </c>
      <c r="C46" s="4" t="n">
        <f aca="false">SUMIF(peticiones!$B$2:$B$2992,$A46, peticiones!$G$2:$G$2992)</f>
        <v>0</v>
      </c>
      <c r="D46" s="4" t="n">
        <f aca="false">SUMIF(peticiones!$B$2:$B$2992,$A46, peticiones!$H$2:$H$2992)</f>
        <v>0</v>
      </c>
      <c r="E46" s="4" t="n">
        <f aca="false">SUMIF(peticiones!$B$2:$B$2992,$A46, peticiones!$I$2:$I$2992)</f>
        <v>0</v>
      </c>
      <c r="F46" s="4" t="n">
        <f aca="false">E46+D46+C46+B46</f>
        <v>0</v>
      </c>
    </row>
    <row r="47" customFormat="false" ht="13.5" hidden="false" customHeight="false" outlineLevel="0" collapsed="false">
      <c r="A47" s="1" t="s">
        <v>109</v>
      </c>
      <c r="B47" s="4" t="n">
        <f aca="false">SUMIF(peticiones!$B$2:$B$2992,$A47, peticiones!$F$2:$F$2992)</f>
        <v>0</v>
      </c>
      <c r="C47" s="4" t="n">
        <f aca="false">SUMIF(peticiones!$B$2:$B$2992,$A47, peticiones!$G$2:$G$2992)</f>
        <v>0</v>
      </c>
      <c r="D47" s="4" t="n">
        <f aca="false">SUMIF(peticiones!$B$2:$B$2992,$A47, peticiones!$H$2:$H$2992)</f>
        <v>0</v>
      </c>
      <c r="E47" s="4" t="n">
        <f aca="false">SUMIF(peticiones!$B$2:$B$2992,$A47, peticiones!$I$2:$I$2992)</f>
        <v>0</v>
      </c>
      <c r="F47" s="4" t="n">
        <f aca="false">E47+D47+C47+B47</f>
        <v>0</v>
      </c>
    </row>
    <row r="48" customFormat="false" ht="13.5" hidden="false" customHeight="false" outlineLevel="0" collapsed="false">
      <c r="A48" s="1" t="s">
        <v>110</v>
      </c>
      <c r="B48" s="4" t="n">
        <f aca="false">SUMIF(peticiones!$B$2:$B$2992,$A48, peticiones!$F$2:$F$2992)</f>
        <v>0</v>
      </c>
      <c r="C48" s="4" t="n">
        <f aca="false">SUMIF(peticiones!$B$2:$B$2992,$A48, peticiones!$G$2:$G$2992)</f>
        <v>0</v>
      </c>
      <c r="D48" s="4" t="n">
        <f aca="false">SUMIF(peticiones!$B$2:$B$2992,$A48, peticiones!$H$2:$H$2992)</f>
        <v>0</v>
      </c>
      <c r="E48" s="4" t="n">
        <f aca="false">SUMIF(peticiones!$B$2:$B$2992,$A48, peticiones!$I$2:$I$2992)</f>
        <v>0</v>
      </c>
      <c r="F48" s="4" t="n">
        <f aca="false">E48+D48+C48+B48</f>
        <v>0</v>
      </c>
    </row>
    <row r="49" customFormat="false" ht="13.5" hidden="false" customHeight="false" outlineLevel="0" collapsed="false">
      <c r="A49" s="1" t="s">
        <v>111</v>
      </c>
      <c r="B49" s="4" t="n">
        <f aca="false">SUMIF(peticiones!$B$2:$B$2992,$A49, peticiones!$F$2:$F$2992)</f>
        <v>0</v>
      </c>
      <c r="C49" s="4" t="n">
        <f aca="false">SUMIF(peticiones!$B$2:$B$2992,$A49, peticiones!$G$2:$G$2992)</f>
        <v>0</v>
      </c>
      <c r="D49" s="4" t="n">
        <f aca="false">SUMIF(peticiones!$B$2:$B$2992,$A49, peticiones!$H$2:$H$2992)</f>
        <v>0</v>
      </c>
      <c r="E49" s="4" t="n">
        <f aca="false">SUMIF(peticiones!$B$2:$B$2992,$A49, peticiones!$I$2:$I$2992)</f>
        <v>0</v>
      </c>
      <c r="F49" s="4" t="n">
        <f aca="false">E49+D49+C49+B49</f>
        <v>0</v>
      </c>
    </row>
    <row r="50" customFormat="false" ht="13.5" hidden="false" customHeight="false" outlineLevel="0" collapsed="false">
      <c r="A50" s="1" t="s">
        <v>112</v>
      </c>
      <c r="B50" s="4" t="n">
        <f aca="false">SUMIF(peticiones!$B$2:$B$2992,$A50, peticiones!$F$2:$F$2992)</f>
        <v>0</v>
      </c>
      <c r="C50" s="4" t="n">
        <f aca="false">SUMIF(peticiones!$B$2:$B$2992,$A50, peticiones!$G$2:$G$2992)</f>
        <v>0</v>
      </c>
      <c r="D50" s="4" t="n">
        <f aca="false">SUMIF(peticiones!$B$2:$B$2992,$A50, peticiones!$H$2:$H$2992)</f>
        <v>0</v>
      </c>
      <c r="E50" s="4" t="n">
        <f aca="false">SUMIF(peticiones!$B$2:$B$2992,$A50, peticiones!$I$2:$I$2992)</f>
        <v>0</v>
      </c>
      <c r="F50" s="4" t="n">
        <f aca="false">E50+D50+C50+B50</f>
        <v>0</v>
      </c>
    </row>
    <row r="51" customFormat="false" ht="13.5" hidden="false" customHeight="false" outlineLevel="0" collapsed="false">
      <c r="A51" s="15" t="s">
        <v>113</v>
      </c>
      <c r="B51" s="4" t="n">
        <f aca="false">SUMIF(peticiones!$B$2:$B$2992,$A51, peticiones!$F$2:$F$2992)</f>
        <v>0</v>
      </c>
      <c r="C51" s="4" t="n">
        <f aca="false">SUMIF(peticiones!$B$2:$B$2992,$A51, peticiones!$G$2:$G$2992)</f>
        <v>0</v>
      </c>
      <c r="D51" s="4" t="n">
        <f aca="false">SUMIF(peticiones!$B$2:$B$2992,$A51, peticiones!$H$2:$H$2992)</f>
        <v>0</v>
      </c>
      <c r="E51" s="4" t="n">
        <f aca="false">SUMIF(peticiones!$B$2:$B$2992,$A51, peticiones!$I$2:$I$2992)</f>
        <v>0</v>
      </c>
      <c r="F51" s="4" t="n">
        <f aca="false">E51+D51+C51+B51</f>
        <v>0</v>
      </c>
    </row>
    <row r="52" customFormat="false" ht="13.5" hidden="false" customHeight="false" outlineLevel="0" collapsed="false">
      <c r="A52" s="1" t="s">
        <v>114</v>
      </c>
      <c r="B52" s="4" t="n">
        <f aca="false">SUMIF(peticiones!$B$2:$B$2992,$A52, peticiones!$F$2:$F$2992)</f>
        <v>0</v>
      </c>
      <c r="C52" s="4" t="n">
        <f aca="false">SUMIF(peticiones!$B$2:$B$2992,$A52, peticiones!$G$2:$G$2992)</f>
        <v>0</v>
      </c>
      <c r="D52" s="4" t="n">
        <f aca="false">SUMIF(peticiones!$B$2:$B$2992,$A52, peticiones!$H$2:$H$2992)</f>
        <v>0</v>
      </c>
      <c r="E52" s="4" t="n">
        <f aca="false">SUMIF(peticiones!$B$2:$B$2992,$A52, peticiones!$I$2:$I$2992)</f>
        <v>0</v>
      </c>
      <c r="F52" s="4" t="n">
        <f aca="false">E52+D52+C52+B52</f>
        <v>0</v>
      </c>
    </row>
    <row r="53" customFormat="false" ht="13.5" hidden="false" customHeight="false" outlineLevel="0" collapsed="false">
      <c r="A53" s="1" t="s">
        <v>115</v>
      </c>
      <c r="B53" s="4" t="n">
        <f aca="false">SUMIF(peticiones!$B$2:$B$2992,$A53, peticiones!$F$2:$F$2992)</f>
        <v>0</v>
      </c>
      <c r="C53" s="4" t="n">
        <f aca="false">SUMIF(peticiones!$B$2:$B$2992,$A53, peticiones!$G$2:$G$2992)</f>
        <v>0</v>
      </c>
      <c r="D53" s="4" t="n">
        <f aca="false">SUMIF(peticiones!$B$2:$B$2992,$A53, peticiones!$H$2:$H$2992)</f>
        <v>0</v>
      </c>
      <c r="E53" s="4" t="n">
        <f aca="false">SUMIF(peticiones!$B$2:$B$2992,$A53, peticiones!$I$2:$I$2992)</f>
        <v>0</v>
      </c>
      <c r="F53" s="4" t="n">
        <f aca="false">E53+D53+C53+B53</f>
        <v>0</v>
      </c>
    </row>
    <row r="54" customFormat="false" ht="13.5" hidden="false" customHeight="false" outlineLevel="0" collapsed="false">
      <c r="A54" s="15" t="s">
        <v>116</v>
      </c>
      <c r="B54" s="4" t="n">
        <f aca="false">SUMIF(peticiones!$B$2:$B$2992,$A54, peticiones!$F$2:$F$2992)</f>
        <v>0</v>
      </c>
      <c r="C54" s="4" t="n">
        <f aca="false">SUMIF(peticiones!$B$2:$B$2992,$A54, peticiones!$G$2:$G$2992)</f>
        <v>0</v>
      </c>
      <c r="D54" s="4" t="n">
        <f aca="false">SUMIF(peticiones!$B$2:$B$2992,$A54, peticiones!$H$2:$H$2992)</f>
        <v>0</v>
      </c>
      <c r="E54" s="4" t="n">
        <f aca="false">SUMIF(peticiones!$B$2:$B$2992,$A54, peticiones!$I$2:$I$2992)</f>
        <v>0</v>
      </c>
      <c r="F54" s="4" t="n">
        <f aca="false">E54+D54+C54+B54</f>
        <v>0</v>
      </c>
    </row>
    <row r="55" customFormat="false" ht="13.5" hidden="false" customHeight="false" outlineLevel="0" collapsed="false">
      <c r="A55" s="1" t="s">
        <v>117</v>
      </c>
      <c r="B55" s="4" t="n">
        <f aca="false">SUMIF(peticiones!$B$2:$B$2992,$A55, peticiones!$F$2:$F$2992)</f>
        <v>0</v>
      </c>
      <c r="C55" s="4" t="n">
        <f aca="false">SUMIF(peticiones!$B$2:$B$2992,$A55, peticiones!$G$2:$G$2992)</f>
        <v>0</v>
      </c>
      <c r="D55" s="4" t="n">
        <f aca="false">SUMIF(peticiones!$B$2:$B$2992,$A55, peticiones!$H$2:$H$2992)</f>
        <v>0</v>
      </c>
      <c r="E55" s="4" t="n">
        <f aca="false">SUMIF(peticiones!$B$2:$B$2992,$A55, peticiones!$I$2:$I$2992)</f>
        <v>0</v>
      </c>
      <c r="F55" s="4" t="n">
        <f aca="false">E55+D55+C55+B55</f>
        <v>0</v>
      </c>
    </row>
    <row r="56" customFormat="false" ht="13.5" hidden="false" customHeight="false" outlineLevel="0" collapsed="false">
      <c r="A56" s="1" t="s">
        <v>118</v>
      </c>
      <c r="B56" s="4" t="n">
        <f aca="false">SUMIF(peticiones!$B$2:$B$2992,$A56, peticiones!$F$2:$F$2992)</f>
        <v>0</v>
      </c>
      <c r="C56" s="4" t="n">
        <f aca="false">SUMIF(peticiones!$B$2:$B$2992,$A56, peticiones!$G$2:$G$2992)</f>
        <v>0</v>
      </c>
      <c r="D56" s="4" t="n">
        <f aca="false">SUMIF(peticiones!$B$2:$B$2992,$A56, peticiones!$H$2:$H$2992)</f>
        <v>0</v>
      </c>
      <c r="E56" s="4" t="n">
        <f aca="false">SUMIF(peticiones!$B$2:$B$2992,$A56, peticiones!$I$2:$I$2992)</f>
        <v>0</v>
      </c>
      <c r="F56" s="4" t="n">
        <f aca="false">E56+D56+C56+B56</f>
        <v>0</v>
      </c>
      <c r="M56" s="1"/>
    </row>
    <row r="57" customFormat="false" ht="13.5" hidden="false" customHeight="false" outlineLevel="0" collapsed="false">
      <c r="A57" s="1" t="s">
        <v>119</v>
      </c>
      <c r="B57" s="4" t="n">
        <f aca="false">SUMIF(peticiones!$B$2:$B$2992,$A57, peticiones!$F$2:$F$2992)</f>
        <v>0</v>
      </c>
      <c r="C57" s="4" t="n">
        <f aca="false">SUMIF(peticiones!$B$2:$B$2992,$A57, peticiones!$G$2:$G$2992)</f>
        <v>0</v>
      </c>
      <c r="D57" s="4" t="n">
        <f aca="false">SUMIF(peticiones!$B$2:$B$2992,$A57, peticiones!$H$2:$H$2992)</f>
        <v>0</v>
      </c>
      <c r="E57" s="4" t="n">
        <f aca="false">SUMIF(peticiones!$B$2:$B$2992,$A57, peticiones!$I$2:$I$2992)</f>
        <v>0</v>
      </c>
      <c r="F57" s="4" t="n">
        <f aca="false">E57+D57+C57+B57</f>
        <v>0</v>
      </c>
      <c r="M57" s="1"/>
    </row>
    <row r="58" customFormat="false" ht="13.5" hidden="false" customHeight="false" outlineLevel="0" collapsed="false">
      <c r="A58" s="1" t="s">
        <v>120</v>
      </c>
      <c r="B58" s="4" t="n">
        <f aca="false">SUMIF(peticiones!$B$2:$B$2992,$A58, peticiones!$F$2:$F$2992)</f>
        <v>0</v>
      </c>
      <c r="C58" s="4" t="n">
        <f aca="false">SUMIF(peticiones!$B$2:$B$2992,$A58, peticiones!$G$2:$G$2992)</f>
        <v>0</v>
      </c>
      <c r="D58" s="4" t="n">
        <f aca="false">SUMIF(peticiones!$B$2:$B$2992,$A58, peticiones!$H$2:$H$2992)</f>
        <v>0</v>
      </c>
      <c r="E58" s="4" t="n">
        <f aca="false">SUMIF(peticiones!$B$2:$B$2992,$A58, peticiones!$I$2:$I$2992)</f>
        <v>0</v>
      </c>
      <c r="F58" s="4" t="n">
        <f aca="false">E58+D58+C58+B58</f>
        <v>0</v>
      </c>
      <c r="M58" s="1"/>
    </row>
    <row r="59" customFormat="false" ht="13.5" hidden="false" customHeight="false" outlineLevel="0" collapsed="false">
      <c r="A59" s="1" t="s">
        <v>121</v>
      </c>
      <c r="B59" s="4" t="n">
        <f aca="false">SUMIF(peticiones!$B$2:$B$2992,$A59, peticiones!$F$2:$F$2992)</f>
        <v>0</v>
      </c>
      <c r="C59" s="4" t="n">
        <f aca="false">SUMIF(peticiones!$B$2:$B$2992,$A59, peticiones!$G$2:$G$2992)</f>
        <v>0</v>
      </c>
      <c r="D59" s="4" t="n">
        <f aca="false">SUMIF(peticiones!$B$2:$B$2992,$A59, peticiones!$H$2:$H$2992)</f>
        <v>0</v>
      </c>
      <c r="E59" s="4" t="n">
        <f aca="false">SUMIF(peticiones!$B$2:$B$2992,$A59, peticiones!$I$2:$I$2992)</f>
        <v>0</v>
      </c>
      <c r="F59" s="4" t="n">
        <f aca="false">E59+D59+C59+B59</f>
        <v>0</v>
      </c>
      <c r="M59" s="1"/>
    </row>
    <row r="60" customFormat="false" ht="13.5" hidden="false" customHeight="false" outlineLevel="0" collapsed="false">
      <c r="A60" s="15" t="s">
        <v>122</v>
      </c>
      <c r="B60" s="4" t="n">
        <f aca="false">SUMIF(peticiones!$B$2:$B$2992,$A60, peticiones!$F$2:$F$2992)</f>
        <v>0</v>
      </c>
      <c r="C60" s="4" t="n">
        <f aca="false">SUMIF(peticiones!$B$2:$B$2992,$A60, peticiones!$G$2:$G$2992)</f>
        <v>0</v>
      </c>
      <c r="D60" s="4" t="n">
        <f aca="false">SUMIF(peticiones!$B$2:$B$2992,$A60, peticiones!$H$2:$H$2992)</f>
        <v>0</v>
      </c>
      <c r="E60" s="4" t="n">
        <f aca="false">SUMIF(peticiones!$B$2:$B$2992,$A60, peticiones!$I$2:$I$2992)</f>
        <v>0</v>
      </c>
      <c r="F60" s="4" t="n">
        <f aca="false">E60+D60+C60+B60</f>
        <v>0</v>
      </c>
      <c r="M60" s="1"/>
    </row>
    <row r="61" customFormat="false" ht="13.5" hidden="false" customHeight="false" outlineLevel="0" collapsed="false">
      <c r="A61" s="1" t="s">
        <v>123</v>
      </c>
      <c r="B61" s="4" t="n">
        <f aca="false">SUMIF(peticiones!$B$2:$B$2992,$A61, peticiones!$F$2:$F$2992)</f>
        <v>0</v>
      </c>
      <c r="C61" s="4" t="n">
        <f aca="false">SUMIF(peticiones!$B$2:$B$2992,$A61, peticiones!$G$2:$G$2992)</f>
        <v>0</v>
      </c>
      <c r="D61" s="4" t="n">
        <f aca="false">SUMIF(peticiones!$B$2:$B$2992,$A61, peticiones!$H$2:$H$2992)</f>
        <v>0</v>
      </c>
      <c r="E61" s="4" t="n">
        <f aca="false">SUMIF(peticiones!$B$2:$B$2992,$A61, peticiones!$I$2:$I$2992)</f>
        <v>0</v>
      </c>
      <c r="F61" s="4" t="n">
        <f aca="false">E61+D61+C61+B61</f>
        <v>0</v>
      </c>
      <c r="M61" s="1"/>
    </row>
    <row r="62" customFormat="false" ht="13.5" hidden="false" customHeight="false" outlineLevel="0" collapsed="false">
      <c r="A62" s="1" t="s">
        <v>124</v>
      </c>
      <c r="B62" s="4" t="n">
        <f aca="false">SUMIF(peticiones!$B$2:$B$2992,$A62, peticiones!$F$2:$F$2992)</f>
        <v>0</v>
      </c>
      <c r="C62" s="4" t="n">
        <f aca="false">SUMIF(peticiones!$B$2:$B$2992,$A62, peticiones!$G$2:$G$2992)</f>
        <v>0</v>
      </c>
      <c r="D62" s="4" t="n">
        <f aca="false">SUMIF(peticiones!$B$2:$B$2992,$A62, peticiones!$H$2:$H$2992)</f>
        <v>0</v>
      </c>
      <c r="E62" s="4" t="n">
        <f aca="false">SUMIF(peticiones!$B$2:$B$2992,$A62, peticiones!$I$2:$I$2992)</f>
        <v>0</v>
      </c>
      <c r="F62" s="4" t="n">
        <f aca="false">E62+D62+C62+B62</f>
        <v>0</v>
      </c>
      <c r="M62" s="1"/>
    </row>
    <row r="63" customFormat="false" ht="13.5" hidden="false" customHeight="false" outlineLevel="0" collapsed="false">
      <c r="A63" s="1" t="s">
        <v>125</v>
      </c>
      <c r="B63" s="4" t="n">
        <f aca="false">SUMIF(peticiones!$B$2:$B$2992,$A63, peticiones!$F$2:$F$2992)</f>
        <v>0</v>
      </c>
      <c r="C63" s="4" t="n">
        <f aca="false">SUMIF(peticiones!$B$2:$B$2992,$A63, peticiones!$G$2:$G$2992)</f>
        <v>0</v>
      </c>
      <c r="D63" s="4" t="n">
        <f aca="false">SUMIF(peticiones!$B$2:$B$2992,$A63, peticiones!$H$2:$H$2992)</f>
        <v>0</v>
      </c>
      <c r="E63" s="4" t="n">
        <f aca="false">SUMIF(peticiones!$B$2:$B$2992,$A63, peticiones!$I$2:$I$2992)</f>
        <v>0</v>
      </c>
      <c r="F63" s="4" t="n">
        <f aca="false">E63+D63+C63+B63</f>
        <v>0</v>
      </c>
      <c r="M63" s="1"/>
    </row>
    <row r="64" customFormat="false" ht="13.5" hidden="false" customHeight="false" outlineLevel="0" collapsed="false">
      <c r="A64" s="1" t="s">
        <v>126</v>
      </c>
      <c r="B64" s="4" t="n">
        <f aca="false">SUMIF(peticiones!$B$2:$B$2992,$A64, peticiones!$F$2:$F$2992)</f>
        <v>0</v>
      </c>
      <c r="C64" s="4" t="n">
        <f aca="false">SUMIF(peticiones!$B$2:$B$2992,$A64, peticiones!$G$2:$G$2992)</f>
        <v>0</v>
      </c>
      <c r="D64" s="4" t="n">
        <f aca="false">SUMIF(peticiones!$B$2:$B$2992,$A64, peticiones!$H$2:$H$2992)</f>
        <v>0</v>
      </c>
      <c r="E64" s="4" t="n">
        <f aca="false">SUMIF(peticiones!$B$2:$B$2992,$A64, peticiones!$I$2:$I$2992)</f>
        <v>0</v>
      </c>
      <c r="F64" s="4" t="n">
        <f aca="false">E64+D64+C64+B64</f>
        <v>0</v>
      </c>
      <c r="M64" s="1"/>
    </row>
    <row r="65" customFormat="false" ht="13.5" hidden="false" customHeight="false" outlineLevel="0" collapsed="false">
      <c r="A65" s="1" t="s">
        <v>127</v>
      </c>
      <c r="B65" s="4" t="n">
        <f aca="false">SUMIF(peticiones!$B$2:$B$2992,$A65, peticiones!$F$2:$F$2992)</f>
        <v>0</v>
      </c>
      <c r="C65" s="4" t="n">
        <f aca="false">SUMIF(peticiones!$B$2:$B$2992,$A65, peticiones!$G$2:$G$2992)</f>
        <v>0</v>
      </c>
      <c r="D65" s="4" t="n">
        <f aca="false">SUMIF(peticiones!$B$2:$B$2992,$A65, peticiones!$H$2:$H$2992)</f>
        <v>0</v>
      </c>
      <c r="E65" s="4" t="n">
        <f aca="false">SUMIF(peticiones!$B$2:$B$2992,$A65, peticiones!$I$2:$I$2992)</f>
        <v>0</v>
      </c>
      <c r="F65" s="4" t="n">
        <f aca="false">E65+D65+C65+B65</f>
        <v>0</v>
      </c>
    </row>
    <row r="66" customFormat="false" ht="13.5" hidden="false" customHeight="false" outlineLevel="0" collapsed="false">
      <c r="A66" s="1" t="s">
        <v>128</v>
      </c>
      <c r="B66" s="4" t="n">
        <f aca="false">SUMIF(peticiones!$B$2:$B$2992,$A66, peticiones!$F$2:$F$2992)</f>
        <v>0</v>
      </c>
      <c r="C66" s="4" t="n">
        <f aca="false">SUMIF(peticiones!$B$2:$B$2992,$A66, peticiones!$G$2:$G$2992)</f>
        <v>0</v>
      </c>
      <c r="D66" s="4" t="n">
        <f aca="false">SUMIF(peticiones!$B$2:$B$2992,$A66, peticiones!$H$2:$H$2992)</f>
        <v>0</v>
      </c>
      <c r="E66" s="4" t="n">
        <f aca="false">SUMIF(peticiones!$B$2:$B$2992,$A66, peticiones!$I$2:$I$2992)</f>
        <v>0</v>
      </c>
      <c r="F66" s="4" t="n">
        <f aca="false">E66+D66+C66+B66</f>
        <v>0</v>
      </c>
    </row>
    <row r="67" customFormat="false" ht="13.5" hidden="false" customHeight="false" outlineLevel="0" collapsed="false">
      <c r="A67" s="1" t="s">
        <v>129</v>
      </c>
      <c r="B67" s="4" t="n">
        <f aca="false">SUMIF(peticiones!$B$2:$B$2992,$A67, peticiones!$F$2:$F$2992)</f>
        <v>0</v>
      </c>
      <c r="C67" s="4" t="n">
        <f aca="false">SUMIF(peticiones!$B$2:$B$2992,$A67, peticiones!$G$2:$G$2992)</f>
        <v>0</v>
      </c>
      <c r="D67" s="4" t="n">
        <f aca="false">SUMIF(peticiones!$B$2:$B$2992,$A67, peticiones!$H$2:$H$2992)</f>
        <v>0</v>
      </c>
      <c r="E67" s="4" t="n">
        <f aca="false">SUMIF(peticiones!$B$2:$B$2992,$A67, peticiones!$I$2:$I$2992)</f>
        <v>0</v>
      </c>
      <c r="F67" s="4" t="n">
        <f aca="false">E67+D67+C67+B67</f>
        <v>0</v>
      </c>
    </row>
    <row r="68" customFormat="false" ht="13.5" hidden="false" customHeight="false" outlineLevel="0" collapsed="false">
      <c r="A68" s="1" t="s">
        <v>130</v>
      </c>
      <c r="B68" s="4" t="n">
        <f aca="false">SUMIF(peticiones!$B$2:$B$2992,$A68, peticiones!$F$2:$F$2992)</f>
        <v>0</v>
      </c>
      <c r="C68" s="4" t="n">
        <f aca="false">SUMIF(peticiones!$B$2:$B$2992,$A68, peticiones!$G$2:$G$2992)</f>
        <v>0</v>
      </c>
      <c r="D68" s="4" t="n">
        <f aca="false">SUMIF(peticiones!$B$2:$B$2992,$A68, peticiones!$H$2:$H$2992)</f>
        <v>0</v>
      </c>
      <c r="E68" s="4" t="n">
        <f aca="false">SUMIF(peticiones!$B$2:$B$2992,$A68, peticiones!$I$2:$I$2992)</f>
        <v>0</v>
      </c>
      <c r="F68" s="4" t="n">
        <f aca="false">E68+D68+C68+B68</f>
        <v>0</v>
      </c>
      <c r="M68" s="1"/>
    </row>
    <row r="69" customFormat="false" ht="13.5" hidden="false" customHeight="false" outlineLevel="0" collapsed="false">
      <c r="A69" s="1" t="s">
        <v>131</v>
      </c>
      <c r="B69" s="4" t="n">
        <f aca="false">SUMIF(peticiones!$B$2:$B$2992,$A69, peticiones!$F$2:$F$2992)</f>
        <v>0</v>
      </c>
      <c r="C69" s="4" t="n">
        <f aca="false">SUMIF(peticiones!$B$2:$B$2992,$A69, peticiones!$G$2:$G$2992)</f>
        <v>0</v>
      </c>
      <c r="D69" s="4" t="n">
        <f aca="false">SUMIF(peticiones!$B$2:$B$2992,$A69, peticiones!$H$2:$H$2992)</f>
        <v>0</v>
      </c>
      <c r="E69" s="4" t="n">
        <f aca="false">SUMIF(peticiones!$B$2:$B$2992,$A69, peticiones!$I$2:$I$2992)</f>
        <v>0</v>
      </c>
      <c r="F69" s="4" t="n">
        <f aca="false">E69+D69+C69+B69</f>
        <v>0</v>
      </c>
      <c r="M69" s="1"/>
    </row>
    <row r="70" customFormat="false" ht="13.5" hidden="false" customHeight="false" outlineLevel="0" collapsed="false">
      <c r="A70" s="1" t="s">
        <v>132</v>
      </c>
      <c r="B70" s="4" t="n">
        <f aca="false">SUMIF(peticiones!$B$2:$B$2992,$A70, peticiones!$F$2:$F$2992)</f>
        <v>0</v>
      </c>
      <c r="C70" s="4" t="n">
        <f aca="false">SUMIF(peticiones!$B$2:$B$2992,$A70, peticiones!$G$2:$G$2992)</f>
        <v>0</v>
      </c>
      <c r="D70" s="4" t="n">
        <f aca="false">SUMIF(peticiones!$B$2:$B$2992,$A70, peticiones!$H$2:$H$2992)</f>
        <v>0</v>
      </c>
      <c r="E70" s="4" t="n">
        <f aca="false">SUMIF(peticiones!$B$2:$B$2992,$A70, peticiones!$I$2:$I$2992)</f>
        <v>0</v>
      </c>
      <c r="F70" s="4" t="n">
        <f aca="false">E70+D70+C70+B70</f>
        <v>0</v>
      </c>
      <c r="M70" s="1"/>
    </row>
    <row r="71" customFormat="false" ht="13.5" hidden="false" customHeight="false" outlineLevel="0" collapsed="false">
      <c r="A71" s="1" t="s">
        <v>133</v>
      </c>
      <c r="B71" s="4" t="n">
        <f aca="false">SUMIF(peticiones!$B$2:$B$2992,$A71, peticiones!$F$2:$F$2992)</f>
        <v>0</v>
      </c>
      <c r="C71" s="4" t="n">
        <f aca="false">SUMIF(peticiones!$B$2:$B$2992,$A71, peticiones!$G$2:$G$2992)</f>
        <v>0</v>
      </c>
      <c r="D71" s="4" t="n">
        <f aca="false">SUMIF(peticiones!$B$2:$B$2992,$A71, peticiones!$H$2:$H$2992)</f>
        <v>0</v>
      </c>
      <c r="E71" s="4" t="n">
        <f aca="false">SUMIF(peticiones!$B$2:$B$2992,$A71, peticiones!$I$2:$I$2992)</f>
        <v>0</v>
      </c>
      <c r="F71" s="4" t="n">
        <f aca="false">E71+D71+C71+B71</f>
        <v>0</v>
      </c>
      <c r="M71" s="1"/>
    </row>
    <row r="72" customFormat="false" ht="13.5" hidden="false" customHeight="false" outlineLevel="0" collapsed="false">
      <c r="A72" s="1" t="s">
        <v>134</v>
      </c>
      <c r="B72" s="4" t="n">
        <f aca="false">SUMIF(peticiones!$B$2:$B$2992,$A72, peticiones!$F$2:$F$2992)</f>
        <v>0</v>
      </c>
      <c r="C72" s="4" t="n">
        <f aca="false">SUMIF(peticiones!$B$2:$B$2992,$A72, peticiones!$G$2:$G$2992)</f>
        <v>0</v>
      </c>
      <c r="D72" s="4" t="n">
        <f aca="false">SUMIF(peticiones!$B$2:$B$2992,$A72, peticiones!$H$2:$H$2992)</f>
        <v>0</v>
      </c>
      <c r="E72" s="4" t="n">
        <f aca="false">SUMIF(peticiones!$B$2:$B$2992,$A72, peticiones!$I$2:$I$2992)</f>
        <v>0</v>
      </c>
      <c r="F72" s="4" t="n">
        <f aca="false">E72+D72+C72+B72</f>
        <v>0</v>
      </c>
      <c r="M72" s="1"/>
    </row>
    <row r="73" customFormat="false" ht="13.5" hidden="false" customHeight="false" outlineLevel="0" collapsed="false">
      <c r="A73" s="1" t="s">
        <v>135</v>
      </c>
      <c r="B73" s="4" t="n">
        <f aca="false">SUMIF(peticiones!$B$2:$B$2992,$A73, peticiones!$F$2:$F$2992)</f>
        <v>0</v>
      </c>
      <c r="C73" s="4" t="n">
        <f aca="false">SUMIF(peticiones!$B$2:$B$2992,$A73, peticiones!$G$2:$G$2992)</f>
        <v>0</v>
      </c>
      <c r="D73" s="4" t="n">
        <f aca="false">SUMIF(peticiones!$B$2:$B$2992,$A73, peticiones!$H$2:$H$2992)</f>
        <v>0</v>
      </c>
      <c r="E73" s="4" t="n">
        <f aca="false">SUMIF(peticiones!$B$2:$B$2992,$A73, peticiones!$I$2:$I$2992)</f>
        <v>0</v>
      </c>
      <c r="F73" s="4" t="n">
        <f aca="false">E73+D73+C73+B73</f>
        <v>0</v>
      </c>
      <c r="M73" s="1"/>
    </row>
    <row r="74" customFormat="false" ht="13.5" hidden="false" customHeight="false" outlineLevel="0" collapsed="false">
      <c r="A74" s="1" t="s">
        <v>136</v>
      </c>
      <c r="B74" s="4" t="n">
        <f aca="false">SUMIF(peticiones!$B$2:$B$2992,$A74, peticiones!$F$2:$F$2992)</f>
        <v>0</v>
      </c>
      <c r="C74" s="4" t="n">
        <f aca="false">SUMIF(peticiones!$B$2:$B$2992,$A74, peticiones!$G$2:$G$2992)</f>
        <v>0</v>
      </c>
      <c r="D74" s="4" t="n">
        <f aca="false">SUMIF(peticiones!$B$2:$B$2992,$A74, peticiones!$H$2:$H$2992)</f>
        <v>0</v>
      </c>
      <c r="E74" s="4" t="n">
        <f aca="false">SUMIF(peticiones!$B$2:$B$2992,$A74, peticiones!$I$2:$I$2992)</f>
        <v>0</v>
      </c>
      <c r="F74" s="4" t="n">
        <f aca="false">E74+D74+C74+B74</f>
        <v>0</v>
      </c>
    </row>
    <row r="75" customFormat="false" ht="13.5" hidden="false" customHeight="false" outlineLevel="0" collapsed="false">
      <c r="A75" s="1" t="s">
        <v>137</v>
      </c>
      <c r="B75" s="4" t="n">
        <f aca="false">SUMIF(peticiones!$B$2:$B$2992,$A75, peticiones!$F$2:$F$2992)</f>
        <v>0</v>
      </c>
      <c r="C75" s="4" t="n">
        <f aca="false">SUMIF(peticiones!$B$2:$B$2992,$A75, peticiones!$G$2:$G$2992)</f>
        <v>0</v>
      </c>
      <c r="D75" s="4" t="n">
        <f aca="false">SUMIF(peticiones!$B$2:$B$2992,$A75, peticiones!$H$2:$H$2992)</f>
        <v>0</v>
      </c>
      <c r="E75" s="4" t="n">
        <f aca="false">SUMIF(peticiones!$B$2:$B$2992,$A75, peticiones!$I$2:$I$2992)</f>
        <v>0</v>
      </c>
      <c r="F75" s="4" t="n">
        <f aca="false">E75+D75+C75+B75</f>
        <v>0</v>
      </c>
    </row>
    <row r="76" customFormat="false" ht="13.5" hidden="false" customHeight="false" outlineLevel="0" collapsed="false">
      <c r="A76" s="1" t="s">
        <v>138</v>
      </c>
      <c r="B76" s="4" t="n">
        <f aca="false">SUMIF(peticiones!$B$2:$B$2992,$A76, peticiones!$F$2:$F$2992)</f>
        <v>0</v>
      </c>
      <c r="C76" s="4" t="n">
        <f aca="false">SUMIF(peticiones!$B$2:$B$2992,$A76, peticiones!$G$2:$G$2992)</f>
        <v>0</v>
      </c>
      <c r="D76" s="4" t="n">
        <f aca="false">SUMIF(peticiones!$B$2:$B$2992,$A76, peticiones!$H$2:$H$2992)</f>
        <v>0</v>
      </c>
      <c r="E76" s="4" t="n">
        <f aca="false">SUMIF(peticiones!$B$2:$B$2992,$A76, peticiones!$I$2:$I$2992)</f>
        <v>0</v>
      </c>
      <c r="F76" s="4" t="n">
        <f aca="false">E76+D76+C76+B76</f>
        <v>0</v>
      </c>
      <c r="M76" s="1"/>
    </row>
    <row r="77" customFormat="false" ht="13.5" hidden="false" customHeight="false" outlineLevel="0" collapsed="false">
      <c r="A77" s="15" t="s">
        <v>139</v>
      </c>
      <c r="B77" s="4" t="n">
        <f aca="false">SUMIF(peticiones!$B$2:$B$2992,$A77, peticiones!$F$2:$F$2992)</f>
        <v>0</v>
      </c>
      <c r="C77" s="4" t="n">
        <f aca="false">SUMIF(peticiones!$B$2:$B$2992,$A77, peticiones!$G$2:$G$2992)</f>
        <v>0</v>
      </c>
      <c r="D77" s="4" t="n">
        <f aca="false">SUMIF(peticiones!$B$2:$B$2992,$A77, peticiones!$H$2:$H$2992)</f>
        <v>0</v>
      </c>
      <c r="E77" s="4" t="n">
        <f aca="false">SUMIF(peticiones!$B$2:$B$2992,$A77, peticiones!$I$2:$I$2992)</f>
        <v>0</v>
      </c>
      <c r="F77" s="4" t="n">
        <f aca="false">E77+D77+C77+B77</f>
        <v>0</v>
      </c>
      <c r="M77" s="1"/>
    </row>
    <row r="78" customFormat="false" ht="13.5" hidden="false" customHeight="false" outlineLevel="0" collapsed="false">
      <c r="A78" s="1" t="s">
        <v>140</v>
      </c>
      <c r="B78" s="4" t="n">
        <f aca="false">SUMIF(peticiones!$B$2:$B$2992,$A78, peticiones!$F$2:$F$2992)</f>
        <v>0</v>
      </c>
      <c r="C78" s="4" t="n">
        <f aca="false">SUMIF(peticiones!$B$2:$B$2992,$A78, peticiones!$G$2:$G$2992)</f>
        <v>0</v>
      </c>
      <c r="D78" s="4" t="n">
        <f aca="false">SUMIF(peticiones!$B$2:$B$2992,$A78, peticiones!$H$2:$H$2992)</f>
        <v>0</v>
      </c>
      <c r="E78" s="4" t="n">
        <f aca="false">SUMIF(peticiones!$B$2:$B$2992,$A78, peticiones!$I$2:$I$2992)</f>
        <v>0</v>
      </c>
      <c r="F78" s="4" t="n">
        <f aca="false">E78+D78+C78+B78</f>
        <v>0</v>
      </c>
    </row>
    <row r="79" customFormat="false" ht="13.5" hidden="false" customHeight="false" outlineLevel="0" collapsed="false">
      <c r="A79" s="1" t="s">
        <v>141</v>
      </c>
      <c r="B79" s="4" t="n">
        <f aca="false">SUMIF(peticiones!$B$2:$B$2992,$A79, peticiones!$F$2:$F$2992)</f>
        <v>0</v>
      </c>
      <c r="C79" s="4" t="n">
        <f aca="false">SUMIF(peticiones!$B$2:$B$2992,$A79, peticiones!$G$2:$G$2992)</f>
        <v>0</v>
      </c>
      <c r="D79" s="4" t="n">
        <f aca="false">SUMIF(peticiones!$B$2:$B$2992,$A79, peticiones!$H$2:$H$2992)</f>
        <v>0</v>
      </c>
      <c r="E79" s="4" t="n">
        <f aca="false">SUMIF(peticiones!$B$2:$B$2992,$A79, peticiones!$I$2:$I$2992)</f>
        <v>0</v>
      </c>
      <c r="F79" s="4" t="n">
        <f aca="false">E79+D79+C79+B79</f>
        <v>0</v>
      </c>
      <c r="M79" s="1"/>
    </row>
    <row r="80" customFormat="false" ht="13.5" hidden="false" customHeight="false" outlineLevel="0" collapsed="false">
      <c r="A80" s="15" t="s">
        <v>142</v>
      </c>
      <c r="B80" s="4" t="n">
        <f aca="false">SUMIF(peticiones!$B$2:$B$2992,$A80, peticiones!$F$2:$F$2992)</f>
        <v>0</v>
      </c>
      <c r="C80" s="4" t="n">
        <f aca="false">SUMIF(peticiones!$B$2:$B$2992,$A80, peticiones!$G$2:$G$2992)</f>
        <v>0</v>
      </c>
      <c r="D80" s="4" t="n">
        <f aca="false">SUMIF(peticiones!$B$2:$B$2992,$A80, peticiones!$H$2:$H$2992)</f>
        <v>0</v>
      </c>
      <c r="E80" s="4" t="n">
        <f aca="false">SUMIF(peticiones!$B$2:$B$2992,$A80, peticiones!$I$2:$I$2992)</f>
        <v>0</v>
      </c>
      <c r="F80" s="4" t="n">
        <f aca="false">E80+D80+C80+B80</f>
        <v>0</v>
      </c>
      <c r="M80" s="1"/>
    </row>
    <row r="81" customFormat="false" ht="13.5" hidden="false" customHeight="false" outlineLevel="0" collapsed="false">
      <c r="A81" s="15" t="s">
        <v>143</v>
      </c>
      <c r="B81" s="4" t="n">
        <f aca="false">SUMIF(peticiones!$B$2:$B$2992,$A81, peticiones!$F$2:$F$2992)</f>
        <v>0</v>
      </c>
      <c r="C81" s="4" t="n">
        <f aca="false">SUMIF(peticiones!$B$2:$B$2992,$A81, peticiones!$G$2:$G$2992)</f>
        <v>0</v>
      </c>
      <c r="D81" s="4" t="n">
        <f aca="false">SUMIF(peticiones!$B$2:$B$2992,$A81, peticiones!$H$2:$H$2992)</f>
        <v>0</v>
      </c>
      <c r="E81" s="4" t="n">
        <f aca="false">SUMIF(peticiones!$B$2:$B$2992,$A81, peticiones!$I$2:$I$2992)</f>
        <v>0</v>
      </c>
      <c r="F81" s="4" t="n">
        <f aca="false">E81+D81+C81+B81</f>
        <v>0</v>
      </c>
      <c r="M81" s="1"/>
    </row>
    <row r="82" customFormat="false" ht="13.5" hidden="false" customHeight="false" outlineLevel="0" collapsed="false">
      <c r="A82" s="1" t="s">
        <v>144</v>
      </c>
      <c r="B82" s="4" t="n">
        <f aca="false">SUMIF(peticiones!$B$2:$B$2992,$A82, peticiones!$F$2:$F$2992)</f>
        <v>0</v>
      </c>
      <c r="C82" s="4" t="n">
        <f aca="false">SUMIF(peticiones!$B$2:$B$2992,$A82, peticiones!$G$2:$G$2992)</f>
        <v>0</v>
      </c>
      <c r="D82" s="4" t="n">
        <f aca="false">SUMIF(peticiones!$B$2:$B$2992,$A82, peticiones!$H$2:$H$2992)</f>
        <v>0</v>
      </c>
      <c r="E82" s="4" t="n">
        <f aca="false">SUMIF(peticiones!$B$2:$B$2992,$A82, peticiones!$I$2:$I$2992)</f>
        <v>0</v>
      </c>
      <c r="F82" s="4" t="n">
        <f aca="false">E82+D82+C82+B82</f>
        <v>0</v>
      </c>
      <c r="M82" s="1"/>
    </row>
    <row r="83" customFormat="false" ht="13.5" hidden="false" customHeight="false" outlineLevel="0" collapsed="false">
      <c r="M83" s="1"/>
    </row>
    <row r="84" customFormat="false" ht="13.5" hidden="false" customHeight="false" outlineLevel="0" collapsed="false">
      <c r="M84" s="1"/>
    </row>
    <row r="87" customFormat="false" ht="13.5" hidden="false" customHeight="false" outlineLevel="0" collapsed="false">
      <c r="M87" s="1"/>
    </row>
    <row r="88" customFormat="false" ht="13.5" hidden="false" customHeight="false" outlineLevel="0" collapsed="false">
      <c r="M88" s="1"/>
    </row>
    <row r="89" customFormat="false" ht="13.5" hidden="false" customHeight="false" outlineLevel="0" collapsed="false">
      <c r="M89" s="1"/>
    </row>
    <row r="90" customFormat="false" ht="13.5" hidden="false" customHeight="false" outlineLevel="0" collapsed="false">
      <c r="M90" s="1"/>
    </row>
    <row r="91" customFormat="false" ht="13.5" hidden="false" customHeight="false" outlineLevel="0" collapsed="false">
      <c r="M91" s="1"/>
    </row>
    <row r="92" customFormat="false" ht="13.5" hidden="false" customHeight="false" outlineLevel="0" collapsed="false">
      <c r="M92" s="1"/>
    </row>
    <row r="93" customFormat="false" ht="13.5" hidden="false" customHeight="false" outlineLevel="0" collapsed="false">
      <c r="M93" s="1"/>
    </row>
    <row r="94" customFormat="false" ht="13.5" hidden="false" customHeight="false" outlineLevel="0" collapsed="false">
      <c r="M94" s="1"/>
    </row>
    <row r="95" customFormat="false" ht="13.5" hidden="false" customHeight="false" outlineLevel="0" collapsed="false">
      <c r="M95" s="1"/>
    </row>
    <row r="96" customFormat="false" ht="13.5" hidden="false" customHeight="false" outlineLevel="0" collapsed="false">
      <c r="M96" s="1"/>
    </row>
    <row r="97" customFormat="false" ht="13.5" hidden="false" customHeight="false" outlineLevel="0" collapsed="false">
      <c r="M97" s="1"/>
    </row>
    <row r="99" customFormat="false" ht="13.5" hidden="false" customHeight="false" outlineLevel="0" collapsed="false">
      <c r="M99" s="1"/>
    </row>
    <row r="100" customFormat="false" ht="13.5" hidden="false" customHeight="false" outlineLevel="0" collapsed="false">
      <c r="M100" s="1"/>
    </row>
    <row r="101" customFormat="false" ht="13.5" hidden="false" customHeight="false" outlineLevel="0" collapsed="false">
      <c r="M101" s="1"/>
    </row>
    <row r="102" customFormat="false" ht="13.5" hidden="false" customHeight="false" outlineLevel="0" collapsed="false">
      <c r="M102" s="1"/>
    </row>
    <row r="103" customFormat="false" ht="13.5" hidden="false" customHeight="false" outlineLevel="0" collapsed="false">
      <c r="M103" s="1"/>
    </row>
    <row r="105" customFormat="false" ht="13.5" hidden="false" customHeight="false" outlineLevel="0" collapsed="false">
      <c r="M105" s="1"/>
    </row>
    <row r="106" customFormat="false" ht="13.5" hidden="false" customHeight="false" outlineLevel="0" collapsed="false">
      <c r="M106" s="1"/>
    </row>
    <row r="108" customFormat="false" ht="13.5" hidden="false" customHeight="false" outlineLevel="0" collapsed="false">
      <c r="M108" s="1"/>
    </row>
    <row r="109" customFormat="false" ht="13.5" hidden="false" customHeight="false" outlineLevel="0" collapsed="false">
      <c r="M109" s="1"/>
    </row>
    <row r="110" customFormat="false" ht="13.5" hidden="false" customHeight="false" outlineLevel="0" collapsed="false">
      <c r="M110" s="1"/>
    </row>
    <row r="111" customFormat="false" ht="13.5" hidden="false" customHeight="false" outlineLevel="0" collapsed="false">
      <c r="M111" s="1"/>
    </row>
    <row r="112" customFormat="false" ht="13.5" hidden="false" customHeight="false" outlineLevel="0" collapsed="false">
      <c r="M112" s="1"/>
    </row>
    <row r="114" customFormat="false" ht="13.5" hidden="false" customHeight="false" outlineLevel="0" collapsed="false">
      <c r="M114" s="1"/>
    </row>
    <row r="115" customFormat="false" ht="13.5" hidden="false" customHeight="false" outlineLevel="0" collapsed="false">
      <c r="M115" s="1"/>
    </row>
    <row r="116" customFormat="false" ht="13.5" hidden="false" customHeight="false" outlineLevel="0" collapsed="false">
      <c r="M116" s="1"/>
    </row>
    <row r="117" customFormat="false" ht="13.5" hidden="false" customHeight="false" outlineLevel="0" collapsed="false">
      <c r="M117" s="1"/>
    </row>
    <row r="118" customFormat="false" ht="13.5" hidden="false" customHeight="false" outlineLevel="0" collapsed="false">
      <c r="M118" s="1"/>
    </row>
    <row r="119" customFormat="false" ht="13.5" hidden="false" customHeight="false" outlineLevel="0" collapsed="false">
      <c r="M119" s="1"/>
    </row>
    <row r="120" customFormat="false" ht="13.5" hidden="false" customHeight="false" outlineLevel="0" collapsed="false">
      <c r="M120" s="1"/>
    </row>
    <row r="121" customFormat="false" ht="13.5" hidden="false" customHeight="false" outlineLevel="0" collapsed="false">
      <c r="M121" s="1"/>
    </row>
    <row r="122" customFormat="false" ht="13.5" hidden="false" customHeight="false" outlineLevel="0" collapsed="false">
      <c r="M122" s="1"/>
    </row>
    <row r="123" customFormat="false" ht="13.5" hidden="false" customHeight="false" outlineLevel="0" collapsed="false">
      <c r="M123" s="1"/>
    </row>
    <row r="124" customFormat="false" ht="13.5" hidden="false" customHeight="false" outlineLevel="0" collapsed="false">
      <c r="M124" s="1"/>
    </row>
    <row r="125" customFormat="false" ht="13.5" hidden="false" customHeight="false" outlineLevel="0" collapsed="false">
      <c r="M125" s="1"/>
    </row>
    <row r="126" customFormat="false" ht="13.5" hidden="false" customHeight="false" outlineLevel="0" collapsed="false">
      <c r="M126" s="1"/>
    </row>
    <row r="127" customFormat="false" ht="13.5" hidden="false" customHeight="false" outlineLevel="0" collapsed="false">
      <c r="M127" s="1"/>
    </row>
    <row r="128" customFormat="false" ht="13.5" hidden="false" customHeight="false" outlineLevel="0" collapsed="false">
      <c r="M128" s="1"/>
    </row>
    <row r="129" customFormat="false" ht="13.5" hidden="false" customHeight="false" outlineLevel="0" collapsed="false">
      <c r="M129" s="1"/>
    </row>
    <row r="130" customFormat="false" ht="13.5" hidden="false" customHeight="false" outlineLevel="0" collapsed="false">
      <c r="M130" s="1"/>
    </row>
    <row r="131" customFormat="false" ht="13.5" hidden="false" customHeight="false" outlineLevel="0" collapsed="false">
      <c r="M131" s="1"/>
    </row>
    <row r="134" customFormat="false" ht="13.5" hidden="false" customHeight="false" outlineLevel="0" collapsed="false">
      <c r="M134" s="1"/>
    </row>
  </sheetData>
  <autoFilter ref="A1:F81">
    <sortState ref="A2:F81">
      <sortCondition ref="A2:A81" customList=""/>
    </sortState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948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G8" activeCellId="0" sqref="G8"/>
    </sheetView>
  </sheetViews>
  <sheetFormatPr defaultColWidth="16.4453125" defaultRowHeight="14.25" customHeight="true" zeroHeight="false" outlineLevelRow="0" outlineLevelCol="0"/>
  <cols>
    <col collapsed="false" customWidth="true" hidden="false" outlineLevel="0" max="1" min="1" style="13" width="16.89"/>
    <col collapsed="false" customWidth="true" hidden="false" outlineLevel="0" max="2" min="2" style="13" width="26.33"/>
    <col collapsed="false" customWidth="true" hidden="false" outlineLevel="0" max="3" min="3" style="13" width="15.56"/>
    <col collapsed="false" customWidth="true" hidden="false" outlineLevel="0" max="4" min="4" style="13" width="16.11"/>
    <col collapsed="false" customWidth="true" hidden="false" outlineLevel="0" max="6" min="5" style="13" width="16"/>
    <col collapsed="false" customWidth="true" hidden="false" outlineLevel="0" max="7" min="7" style="13" width="19"/>
    <col collapsed="false" customWidth="true" hidden="false" outlineLevel="0" max="8" min="8" style="13" width="19.56"/>
    <col collapsed="false" customWidth="true" hidden="false" outlineLevel="0" max="9" min="9" style="13" width="20.11"/>
    <col collapsed="false" customWidth="true" hidden="false" outlineLevel="0" max="11" min="10" style="13" width="20"/>
    <col collapsed="false" customWidth="true" hidden="false" outlineLevel="0" max="12" min="12" style="13" width="23.33"/>
    <col collapsed="false" customWidth="true" hidden="false" outlineLevel="0" max="13" min="13" style="13" width="16.33"/>
    <col collapsed="false" customWidth="true" hidden="false" outlineLevel="0" max="14" min="14" style="13" width="17.44"/>
    <col collapsed="false" customWidth="true" hidden="false" outlineLevel="0" max="15" min="15" style="13" width="17.88"/>
    <col collapsed="false" customWidth="true" hidden="false" outlineLevel="0" max="16" min="16" style="13" width="12.11"/>
    <col collapsed="false" customWidth="true" hidden="false" outlineLevel="0" max="17" min="17" style="13" width="14.44"/>
  </cols>
  <sheetData>
    <row r="1" customFormat="false" ht="14.25" hidden="false" customHeight="false" outlineLevel="0" collapsed="false">
      <c r="A1" s="2" t="s">
        <v>2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145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146</v>
      </c>
      <c r="M1" s="2" t="s">
        <v>147</v>
      </c>
      <c r="N1" s="2" t="s">
        <v>148</v>
      </c>
      <c r="O1" s="2" t="s">
        <v>149</v>
      </c>
      <c r="P1" s="2" t="s">
        <v>150</v>
      </c>
      <c r="Q1" s="2" t="s">
        <v>151</v>
      </c>
      <c r="R1" s="2" t="s">
        <v>14</v>
      </c>
    </row>
    <row r="2" customFormat="false" ht="14.25" hidden="false" customHeight="false" outlineLevel="0" collapsed="false">
      <c r="A2" s="1" t="n">
        <v>121039</v>
      </c>
      <c r="B2" s="1" t="str">
        <f aca="false">LOOKUP($A2,peticiones!$C$2:$C$999,peticiones!E$2:E$999)</f>
        <v>Otras Peticiones ANS</v>
      </c>
      <c r="C2" s="1" t="n">
        <f aca="false">LOOKUP($A2,peticiones!$C$2:$C$999,peticiones!F$2:F$999)</f>
        <v>0</v>
      </c>
      <c r="D2" s="1" t="n">
        <f aca="false">LOOKUP($A2,peticiones!$C$2:$C$999,peticiones!G$2:G$999)</f>
        <v>0</v>
      </c>
      <c r="E2" s="1" t="n">
        <f aca="false">LOOKUP($A2,peticiones!$C$2:$C$999,peticiones!H$2:H$999)</f>
        <v>0</v>
      </c>
      <c r="F2" s="1" t="n">
        <f aca="false">LOOKUP($A2,peticiones!$C$2:$C$999,peticiones!I$2:I$999)</f>
        <v>0</v>
      </c>
      <c r="G2" s="1" t="n">
        <f aca="false">LOOKUP($A2,peticiones!$C$2:$C$999,peticiones!J$2:J$999)</f>
        <v>0</v>
      </c>
      <c r="H2" s="1" t="n">
        <f aca="false">LOOKUP($A2,peticiones!$C$2:$C$999,peticiones!K$2:K$999)</f>
        <v>0</v>
      </c>
      <c r="I2" s="1" t="n">
        <f aca="false">LOOKUP($A2,peticiones!$C$2:$C$999,peticiones!L$2:L$999)</f>
        <v>0</v>
      </c>
      <c r="J2" s="1" t="n">
        <f aca="false">LOOKUP($A2,peticiones!$C$2:$C$999,peticiones!M$2:M$999)</f>
        <v>0</v>
      </c>
      <c r="K2" s="1" t="n">
        <f aca="false">LOOKUP($A2,peticiones!$C$2:$C$999,peticiones!N$2:N$999)</f>
        <v>0</v>
      </c>
      <c r="L2" s="1" t="n">
        <f aca="false">LOOKUP($A2,peticiones!$C$2:$C$999,peticiones!O$2:O$999)</f>
        <v>0</v>
      </c>
      <c r="M2" s="16" t="n">
        <f aca="false">IF(B2="Defecto", 0, 'resumen perfil'!$C$2*C2+'resumen perfil'!$C$3*D2+'resumen perfil'!$C$4*E2+'resumen perfil'!$C$5*F2)</f>
        <v>0</v>
      </c>
      <c r="N2" s="16" t="n">
        <f aca="false">'resumen perfil'!$C$2*H2+'resumen perfil'!$C$3*I2+'resumen perfil'!$C$4*J2+'resumen perfil'!$C$5*K2</f>
        <v>0</v>
      </c>
      <c r="O2" s="16" t="n">
        <f aca="false">1.1*N2</f>
        <v>0</v>
      </c>
      <c r="P2" s="17" t="n">
        <f aca="false">N2-M2</f>
        <v>0</v>
      </c>
      <c r="Q2" s="17" t="n">
        <f aca="false">O2-M2</f>
        <v>0</v>
      </c>
      <c r="R2" s="16" t="n">
        <f aca="false">IF(O2=0,M2, IF(M2&gt;O2,O2,M2))</f>
        <v>0</v>
      </c>
    </row>
    <row r="3" customFormat="false" ht="14.2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6"/>
      <c r="N3" s="16"/>
      <c r="O3" s="16"/>
      <c r="P3" s="16"/>
      <c r="Q3" s="17"/>
    </row>
    <row r="4" customFormat="false" ht="14.2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6"/>
      <c r="N4" s="16"/>
      <c r="O4" s="16"/>
      <c r="P4" s="16"/>
      <c r="Q4" s="17"/>
    </row>
    <row r="5" customFormat="false" ht="14.25" hidden="false" customHeight="fals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6"/>
      <c r="N5" s="16"/>
      <c r="O5" s="16"/>
      <c r="P5" s="16"/>
      <c r="Q5" s="17"/>
    </row>
    <row r="6" customFormat="false" ht="14.25" hidden="false" customHeight="fals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6"/>
      <c r="N6" s="16"/>
      <c r="O6" s="16"/>
      <c r="P6" s="16"/>
      <c r="Q6" s="17"/>
    </row>
    <row r="7" customFormat="false" ht="14.25" hidden="false" customHeight="false" outlineLevel="0" collapsed="false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6"/>
      <c r="N7" s="16"/>
      <c r="O7" s="16"/>
      <c r="P7" s="16"/>
      <c r="Q7" s="17"/>
    </row>
    <row r="8" customFormat="false" ht="14.25" hidden="false" customHeight="false" outlineLevel="0" collapsed="false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6"/>
      <c r="N8" s="16"/>
      <c r="O8" s="16"/>
      <c r="P8" s="16"/>
      <c r="Q8" s="17"/>
    </row>
    <row r="9" customFormat="false" ht="14.2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6"/>
      <c r="N9" s="16"/>
      <c r="O9" s="16"/>
      <c r="P9" s="16"/>
      <c r="Q9" s="17"/>
    </row>
    <row r="10" customFormat="false" ht="14.25" hidden="false" customHeight="false" outlineLevel="0" collapsed="false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6"/>
      <c r="N10" s="16"/>
      <c r="O10" s="16"/>
      <c r="P10" s="16"/>
      <c r="Q10" s="17"/>
    </row>
    <row r="11" customFormat="false" ht="14.25" hidden="false" customHeight="fals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6"/>
      <c r="N11" s="16"/>
      <c r="O11" s="16"/>
      <c r="P11" s="16"/>
      <c r="Q11" s="17"/>
    </row>
    <row r="12" customFormat="false" ht="14.25" hidden="false" customHeight="fals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6"/>
      <c r="N12" s="16"/>
      <c r="O12" s="16"/>
      <c r="P12" s="16"/>
      <c r="Q12" s="17"/>
    </row>
    <row r="13" customFormat="false" ht="14.25" hidden="false" customHeight="fals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6"/>
      <c r="N13" s="16"/>
      <c r="O13" s="16"/>
      <c r="P13" s="16"/>
      <c r="Q13" s="17"/>
    </row>
    <row r="14" customFormat="false" ht="14.25" hidden="false" customHeight="fals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6"/>
      <c r="N14" s="16"/>
      <c r="O14" s="16"/>
      <c r="P14" s="16"/>
      <c r="Q14" s="17"/>
    </row>
    <row r="15" customFormat="false" ht="14.25" hidden="false" customHeight="fals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6"/>
      <c r="N15" s="16"/>
      <c r="O15" s="16"/>
      <c r="P15" s="16"/>
      <c r="Q15" s="17"/>
    </row>
    <row r="16" customFormat="false" ht="14.25" hidden="false" customHeight="fals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6"/>
      <c r="N16" s="16"/>
      <c r="O16" s="16"/>
      <c r="P16" s="16"/>
      <c r="Q16" s="17"/>
    </row>
    <row r="17" customFormat="false" ht="14.25" hidden="false" customHeight="fals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6"/>
      <c r="N17" s="16"/>
      <c r="O17" s="16"/>
      <c r="P17" s="16"/>
      <c r="Q17" s="17"/>
    </row>
    <row r="18" customFormat="false" ht="14.25" hidden="false" customHeight="fals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6"/>
      <c r="N18" s="16"/>
      <c r="O18" s="16"/>
      <c r="P18" s="16"/>
      <c r="Q18" s="17"/>
    </row>
    <row r="19" customFormat="false" ht="14.25" hidden="false" customHeight="fals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6"/>
      <c r="N19" s="16"/>
      <c r="O19" s="16"/>
      <c r="P19" s="16"/>
      <c r="Q19" s="17"/>
    </row>
    <row r="20" customFormat="false" ht="14.25" hidden="false" customHeight="fals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6"/>
      <c r="N20" s="16"/>
      <c r="O20" s="16"/>
      <c r="P20" s="16"/>
      <c r="Q20" s="17"/>
    </row>
    <row r="21" customFormat="false" ht="14.25" hidden="false" customHeight="fals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6"/>
      <c r="N21" s="16"/>
      <c r="O21" s="16"/>
      <c r="P21" s="16"/>
      <c r="Q21" s="17"/>
    </row>
    <row r="22" customFormat="false" ht="14.25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6"/>
      <c r="N22" s="16"/>
      <c r="O22" s="16"/>
      <c r="P22" s="16"/>
      <c r="Q22" s="17"/>
    </row>
    <row r="23" customFormat="false" ht="14.25" hidden="false" customHeight="fals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6"/>
      <c r="N23" s="16"/>
      <c r="O23" s="16"/>
      <c r="P23" s="16"/>
      <c r="Q23" s="17"/>
    </row>
    <row r="24" customFormat="false" ht="14.25" hidden="false" customHeight="fals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6"/>
      <c r="N24" s="16"/>
      <c r="O24" s="16"/>
      <c r="P24" s="16"/>
      <c r="Q24" s="17"/>
    </row>
    <row r="25" customFormat="false" ht="14.25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6"/>
      <c r="N25" s="16"/>
      <c r="O25" s="16"/>
      <c r="P25" s="16"/>
      <c r="Q25" s="17"/>
    </row>
    <row r="26" customFormat="false" ht="14.2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6"/>
      <c r="N26" s="16"/>
      <c r="O26" s="16"/>
      <c r="P26" s="16"/>
      <c r="Q26" s="17"/>
    </row>
    <row r="27" customFormat="false" ht="14.2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6"/>
      <c r="N27" s="16"/>
      <c r="O27" s="16"/>
      <c r="P27" s="16"/>
      <c r="Q27" s="17"/>
    </row>
    <row r="28" customFormat="false" ht="14.2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6"/>
      <c r="N28" s="16"/>
      <c r="O28" s="16"/>
      <c r="P28" s="16"/>
      <c r="Q28" s="17"/>
    </row>
    <row r="29" customFormat="false" ht="14.2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6"/>
      <c r="N29" s="16"/>
      <c r="O29" s="16"/>
      <c r="P29" s="16"/>
      <c r="Q29" s="17"/>
    </row>
    <row r="30" customFormat="false" ht="14.2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6"/>
      <c r="N30" s="16"/>
      <c r="O30" s="16"/>
      <c r="P30" s="16"/>
      <c r="Q30" s="17"/>
    </row>
    <row r="31" customFormat="false" ht="14.2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6"/>
      <c r="N31" s="16"/>
      <c r="O31" s="16"/>
      <c r="P31" s="16"/>
      <c r="Q31" s="17"/>
    </row>
    <row r="32" customFormat="false" ht="14.2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6"/>
      <c r="N32" s="16"/>
      <c r="O32" s="16"/>
      <c r="P32" s="16"/>
      <c r="Q32" s="17"/>
    </row>
    <row r="33" customFormat="false" ht="14.2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6"/>
      <c r="N33" s="16"/>
      <c r="O33" s="16"/>
      <c r="P33" s="16"/>
      <c r="Q33" s="17"/>
    </row>
    <row r="34" customFormat="false" ht="14.2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6"/>
      <c r="N34" s="16"/>
      <c r="O34" s="16"/>
      <c r="P34" s="16"/>
      <c r="Q34" s="17"/>
    </row>
    <row r="35" customFormat="false" ht="14.2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6"/>
      <c r="N35" s="16"/>
      <c r="O35" s="16"/>
      <c r="P35" s="16"/>
      <c r="Q35" s="17"/>
    </row>
    <row r="36" customFormat="false" ht="14.2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6"/>
      <c r="N36" s="16"/>
      <c r="O36" s="16"/>
      <c r="P36" s="16"/>
      <c r="Q36" s="17"/>
    </row>
    <row r="37" customFormat="false" ht="14.2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6"/>
      <c r="N37" s="16"/>
      <c r="O37" s="16"/>
      <c r="P37" s="16"/>
      <c r="Q37" s="17"/>
    </row>
    <row r="38" customFormat="false" ht="14.2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6"/>
      <c r="N38" s="16"/>
      <c r="O38" s="16"/>
      <c r="P38" s="16"/>
      <c r="Q38" s="17"/>
    </row>
    <row r="39" customFormat="false" ht="14.2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6"/>
      <c r="N39" s="16"/>
      <c r="O39" s="16"/>
      <c r="P39" s="16"/>
      <c r="Q39" s="17"/>
    </row>
    <row r="40" customFormat="false" ht="14.2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6"/>
      <c r="N40" s="16"/>
      <c r="O40" s="16"/>
      <c r="P40" s="16"/>
      <c r="Q40" s="17"/>
    </row>
    <row r="41" customFormat="false" ht="14.2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6"/>
      <c r="N41" s="16"/>
      <c r="O41" s="16"/>
      <c r="P41" s="16"/>
      <c r="Q41" s="17"/>
    </row>
    <row r="42" customFormat="false" ht="14.2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6"/>
      <c r="N42" s="16"/>
      <c r="O42" s="16"/>
      <c r="P42" s="16"/>
      <c r="Q42" s="17"/>
    </row>
    <row r="43" customFormat="false" ht="14.2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6"/>
      <c r="N43" s="16"/>
      <c r="O43" s="16"/>
      <c r="P43" s="16"/>
      <c r="Q43" s="17"/>
    </row>
    <row r="44" customFormat="false" ht="14.2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6"/>
      <c r="N44" s="16"/>
      <c r="O44" s="16"/>
      <c r="P44" s="16"/>
      <c r="Q44" s="17"/>
    </row>
    <row r="45" customFormat="false" ht="14.2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6"/>
      <c r="N45" s="16"/>
      <c r="O45" s="16"/>
      <c r="P45" s="16"/>
      <c r="Q45" s="17"/>
    </row>
    <row r="46" customFormat="false" ht="14.2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6"/>
      <c r="N46" s="16"/>
      <c r="O46" s="16"/>
      <c r="P46" s="16"/>
      <c r="Q46" s="17"/>
    </row>
    <row r="47" customFormat="false" ht="14.25" hidden="false" customHeight="false" outlineLevel="0" collapsed="false">
      <c r="A47" s="1" t="n">
        <v>123753</v>
      </c>
      <c r="B47" s="1" t="str">
        <f aca="false">LOOKUP($A47,peticiones!$C$2:$C$999,peticiones!E$2:E$999)</f>
        <v>Otras Peticiones ANS</v>
      </c>
      <c r="C47" s="1" t="n">
        <f aca="false">LOOKUP($A47,peticiones!$C$2:$C$999,peticiones!F$2:F$999)</f>
        <v>0</v>
      </c>
      <c r="D47" s="1" t="n">
        <f aca="false">LOOKUP($A47,peticiones!$C$2:$C$999,peticiones!G$2:G$999)</f>
        <v>0</v>
      </c>
      <c r="E47" s="1"/>
      <c r="F47" s="1"/>
      <c r="G47" s="1"/>
      <c r="H47" s="1"/>
      <c r="I47" s="1"/>
      <c r="J47" s="1"/>
      <c r="K47" s="1"/>
      <c r="L47" s="1"/>
      <c r="M47" s="16"/>
      <c r="N47" s="16"/>
      <c r="O47" s="16"/>
      <c r="P47" s="16"/>
      <c r="Q47" s="17"/>
    </row>
    <row r="48" customFormat="false" ht="14.25" hidden="false" customHeight="false" outlineLevel="0" collapsed="false">
      <c r="A48" s="1" t="n">
        <v>123763</v>
      </c>
      <c r="B48" s="1" t="str">
        <f aca="false">LOOKUP($A48,peticiones!$C$2:$C$999,peticiones!E$2:E$999)</f>
        <v>Otras Peticiones ANS</v>
      </c>
      <c r="C48" s="1" t="n">
        <f aca="false">LOOKUP($A48,peticiones!$C$2:$C$999,peticiones!F$2:F$999)</f>
        <v>0</v>
      </c>
      <c r="D48" s="1" t="n">
        <f aca="false">LOOKUP($A48,peticiones!$C$2:$C$999,peticiones!G$2:G$999)</f>
        <v>0</v>
      </c>
      <c r="E48" s="1"/>
      <c r="F48" s="1"/>
      <c r="G48" s="1"/>
      <c r="H48" s="1"/>
      <c r="I48" s="1"/>
      <c r="J48" s="1"/>
      <c r="K48" s="1"/>
      <c r="L48" s="1"/>
      <c r="M48" s="16"/>
      <c r="N48" s="16"/>
      <c r="O48" s="16"/>
      <c r="P48" s="16"/>
      <c r="Q48" s="17"/>
    </row>
    <row r="49" customFormat="false" ht="14.25" hidden="false" customHeight="false" outlineLevel="0" collapsed="false">
      <c r="A49" s="1" t="n">
        <v>123887</v>
      </c>
      <c r="B49" s="1" t="str">
        <f aca="false">LOOKUP($A49,peticiones!$C$2:$C$999,peticiones!E$2:E$999)</f>
        <v>Otras Peticiones ANS</v>
      </c>
      <c r="C49" s="1" t="n">
        <f aca="false">LOOKUP($A49,peticiones!$C$2:$C$999,peticiones!F$2:F$999)</f>
        <v>0</v>
      </c>
      <c r="D49" s="1" t="n">
        <f aca="false">LOOKUP($A49,peticiones!$C$2:$C$999,peticiones!G$2:G$999)</f>
        <v>0</v>
      </c>
      <c r="E49" s="1"/>
      <c r="F49" s="1"/>
      <c r="G49" s="1"/>
      <c r="H49" s="1"/>
      <c r="I49" s="1"/>
      <c r="J49" s="1"/>
      <c r="K49" s="1"/>
      <c r="L49" s="1"/>
      <c r="M49" s="16"/>
      <c r="N49" s="16"/>
      <c r="O49" s="16"/>
      <c r="P49" s="16"/>
      <c r="Q49" s="17"/>
    </row>
    <row r="50" customFormat="false" ht="14.25" hidden="false" customHeight="false" outlineLevel="0" collapsed="false">
      <c r="A50" s="1" t="n">
        <v>123888</v>
      </c>
      <c r="B50" s="1" t="str">
        <f aca="false">LOOKUP($A50,peticiones!$C$2:$C$999,peticiones!E$2:E$999)</f>
        <v>Otras Peticiones ANS</v>
      </c>
      <c r="C50" s="1" t="n">
        <f aca="false">LOOKUP($A50,peticiones!$C$2:$C$999,peticiones!F$2:F$999)</f>
        <v>0</v>
      </c>
      <c r="D50" s="1" t="n">
        <f aca="false">LOOKUP($A50,peticiones!$C$2:$C$999,peticiones!G$2:G$999)</f>
        <v>0</v>
      </c>
      <c r="E50" s="1"/>
      <c r="F50" s="1"/>
      <c r="G50" s="1"/>
      <c r="H50" s="1"/>
      <c r="I50" s="1"/>
      <c r="J50" s="1"/>
      <c r="K50" s="1"/>
      <c r="L50" s="1"/>
      <c r="M50" s="16"/>
      <c r="N50" s="16"/>
      <c r="O50" s="16"/>
      <c r="P50" s="16"/>
      <c r="Q50" s="17"/>
    </row>
    <row r="51" customFormat="false" ht="14.25" hidden="false" customHeight="false" outlineLevel="0" collapsed="false">
      <c r="A51" s="1" t="n">
        <v>123889</v>
      </c>
      <c r="B51" s="1" t="str">
        <f aca="false">LOOKUP($A51,peticiones!$C$2:$C$999,peticiones!E$2:E$999)</f>
        <v>Otras Peticiones ANS</v>
      </c>
      <c r="C51" s="1" t="n">
        <f aca="false">LOOKUP($A51,peticiones!$C$2:$C$999,peticiones!F$2:F$999)</f>
        <v>0</v>
      </c>
      <c r="D51" s="1" t="n">
        <f aca="false">LOOKUP($A51,peticiones!$C$2:$C$999,peticiones!G$2:G$999)</f>
        <v>0</v>
      </c>
      <c r="E51" s="1"/>
      <c r="F51" s="1"/>
      <c r="G51" s="1"/>
      <c r="H51" s="1"/>
      <c r="I51" s="1"/>
      <c r="J51" s="1"/>
      <c r="K51" s="1"/>
      <c r="L51" s="1"/>
      <c r="M51" s="16"/>
      <c r="N51" s="16"/>
      <c r="O51" s="16"/>
      <c r="P51" s="16"/>
      <c r="Q51" s="17"/>
    </row>
    <row r="52" customFormat="false" ht="14.25" hidden="false" customHeight="false" outlineLevel="0" collapsed="false">
      <c r="A52" s="1" t="n">
        <v>123890</v>
      </c>
      <c r="B52" s="1" t="str">
        <f aca="false">LOOKUP($A52,peticiones!$C$2:$C$999,peticiones!E$2:E$999)</f>
        <v>Otras Peticiones ANS</v>
      </c>
      <c r="C52" s="1" t="n">
        <f aca="false">LOOKUP($A52,peticiones!$C$2:$C$999,peticiones!F$2:F$999)</f>
        <v>0</v>
      </c>
      <c r="D52" s="1" t="n">
        <f aca="false">LOOKUP($A52,peticiones!$C$2:$C$999,peticiones!G$2:G$999)</f>
        <v>0</v>
      </c>
      <c r="E52" s="1"/>
      <c r="F52" s="1"/>
      <c r="G52" s="1"/>
      <c r="H52" s="1"/>
      <c r="I52" s="1"/>
      <c r="J52" s="1"/>
      <c r="K52" s="1"/>
      <c r="L52" s="1"/>
      <c r="M52" s="16"/>
      <c r="N52" s="16"/>
      <c r="O52" s="16"/>
      <c r="P52" s="16"/>
      <c r="Q52" s="17"/>
    </row>
    <row r="53" customFormat="false" ht="14.2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6"/>
      <c r="N53" s="16"/>
      <c r="O53" s="16"/>
      <c r="P53" s="16"/>
      <c r="Q53" s="17"/>
    </row>
    <row r="54" customFormat="false" ht="14.25" hidden="false" customHeight="false" outlineLevel="0" collapsed="false">
      <c r="A54" s="1" t="n">
        <v>123985</v>
      </c>
      <c r="B54" s="1" t="str">
        <f aca="false">LOOKUP($A54,peticiones!$C$2:$C$999,peticiones!E$2:E$999)</f>
        <v>Otras Peticiones ANS</v>
      </c>
      <c r="C54" s="1" t="n">
        <f aca="false">LOOKUP($A54,peticiones!$C$2:$C$999,peticiones!F$2:F$999)</f>
        <v>0</v>
      </c>
      <c r="D54" s="1" t="n">
        <f aca="false">LOOKUP($A54,peticiones!$C$2:$C$999,peticiones!G$2:G$999)</f>
        <v>0</v>
      </c>
      <c r="E54" s="1"/>
      <c r="F54" s="1"/>
      <c r="G54" s="1"/>
      <c r="H54" s="1"/>
      <c r="I54" s="1"/>
      <c r="J54" s="1"/>
      <c r="K54" s="1"/>
      <c r="L54" s="1"/>
      <c r="M54" s="16"/>
      <c r="N54" s="16"/>
      <c r="O54" s="16"/>
      <c r="P54" s="16"/>
      <c r="Q54" s="17"/>
    </row>
    <row r="55" customFormat="false" ht="14.2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6"/>
      <c r="N55" s="16"/>
      <c r="O55" s="16"/>
      <c r="P55" s="16"/>
      <c r="Q55" s="17"/>
    </row>
    <row r="56" customFormat="false" ht="14.25" hidden="false" customHeight="false" outlineLevel="0" collapsed="false">
      <c r="A56" s="1" t="n">
        <v>124197</v>
      </c>
      <c r="B56" s="1" t="str">
        <f aca="false">LOOKUP($A56,peticiones!$C$2:$C$999,peticiones!E$2:E$999)</f>
        <v>Otras Peticiones ANS</v>
      </c>
      <c r="C56" s="1" t="n">
        <f aca="false">LOOKUP($A56,peticiones!$C$2:$C$999,peticiones!F$2:F$999)</f>
        <v>0</v>
      </c>
      <c r="D56" s="1" t="n">
        <f aca="false">LOOKUP($A56,peticiones!$C$2:$C$999,peticiones!G$2:G$999)</f>
        <v>0</v>
      </c>
      <c r="E56" s="1"/>
      <c r="F56" s="1"/>
      <c r="G56" s="1"/>
      <c r="H56" s="1"/>
      <c r="I56" s="1"/>
      <c r="J56" s="1"/>
      <c r="K56" s="1"/>
      <c r="L56" s="1"/>
      <c r="M56" s="16"/>
      <c r="N56" s="16"/>
      <c r="O56" s="16"/>
      <c r="P56" s="16"/>
      <c r="Q56" s="17"/>
    </row>
    <row r="57" customFormat="false" ht="14.25" hidden="false" customHeight="false" outlineLevel="0" collapsed="false">
      <c r="A57" s="1" t="n">
        <v>124198</v>
      </c>
      <c r="B57" s="1" t="str">
        <f aca="false">LOOKUP($A57,peticiones!$C$2:$C$999,peticiones!E$2:E$999)</f>
        <v>Otras Peticiones ANS</v>
      </c>
      <c r="C57" s="1" t="n">
        <f aca="false">LOOKUP($A57,peticiones!$C$2:$C$999,peticiones!F$2:F$999)</f>
        <v>0</v>
      </c>
      <c r="D57" s="1" t="n">
        <f aca="false">LOOKUP($A57,peticiones!$C$2:$C$999,peticiones!G$2:G$999)</f>
        <v>0</v>
      </c>
      <c r="E57" s="1"/>
      <c r="F57" s="1"/>
      <c r="G57" s="1"/>
      <c r="H57" s="1"/>
      <c r="I57" s="1"/>
      <c r="J57" s="1"/>
      <c r="K57" s="1"/>
      <c r="L57" s="1"/>
      <c r="M57" s="16"/>
      <c r="N57" s="16"/>
      <c r="O57" s="16"/>
      <c r="P57" s="16"/>
      <c r="Q57" s="17"/>
    </row>
    <row r="58" customFormat="false" ht="14.2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6"/>
      <c r="N58" s="16"/>
      <c r="O58" s="16"/>
      <c r="P58" s="16"/>
      <c r="Q58" s="17"/>
    </row>
    <row r="59" customFormat="false" ht="14.2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6"/>
      <c r="N59" s="16"/>
      <c r="O59" s="16"/>
      <c r="P59" s="16"/>
      <c r="Q59" s="17"/>
    </row>
    <row r="60" customFormat="false" ht="14.2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6"/>
      <c r="N60" s="16"/>
      <c r="O60" s="16"/>
      <c r="P60" s="16"/>
      <c r="Q60" s="17"/>
    </row>
    <row r="61" customFormat="false" ht="14.2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6"/>
      <c r="N61" s="16"/>
      <c r="O61" s="16"/>
      <c r="P61" s="16"/>
      <c r="Q61" s="17"/>
    </row>
    <row r="62" customFormat="false" ht="14.2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6"/>
      <c r="N62" s="16"/>
      <c r="O62" s="16"/>
      <c r="P62" s="16"/>
      <c r="Q62" s="17"/>
    </row>
    <row r="63" customFormat="false" ht="14.25" hidden="false" customHeight="false" outlineLevel="0" collapsed="false">
      <c r="A63" s="1" t="n">
        <v>124758</v>
      </c>
      <c r="B63" s="1" t="str">
        <f aca="false">LOOKUP($A63,peticiones!$C$2:$C$999,peticiones!E$2:E$999)</f>
        <v>Otras Peticiones ANS</v>
      </c>
      <c r="C63" s="1" t="n">
        <f aca="false">LOOKUP($A63,peticiones!$C$2:$C$999,peticiones!F$2:F$999)</f>
        <v>0</v>
      </c>
      <c r="D63" s="1" t="n">
        <f aca="false">LOOKUP($A63,peticiones!$C$2:$C$999,peticiones!G$2:G$999)</f>
        <v>0</v>
      </c>
      <c r="E63" s="1"/>
      <c r="F63" s="1"/>
      <c r="G63" s="1"/>
      <c r="H63" s="1"/>
      <c r="I63" s="1"/>
      <c r="J63" s="1"/>
      <c r="K63" s="1"/>
      <c r="L63" s="1"/>
      <c r="M63" s="16"/>
      <c r="N63" s="16"/>
      <c r="O63" s="16"/>
      <c r="P63" s="16"/>
      <c r="Q63" s="17"/>
    </row>
    <row r="64" customFormat="false" ht="14.2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6"/>
      <c r="N64" s="16"/>
      <c r="O64" s="16"/>
      <c r="P64" s="16"/>
      <c r="Q64" s="17"/>
    </row>
    <row r="65" customFormat="false" ht="14.25" hidden="false" customHeight="false" outlineLevel="0" collapsed="false">
      <c r="A65" s="1" t="n">
        <v>125026</v>
      </c>
      <c r="B65" s="1" t="str">
        <f aca="false">LOOKUP($A65,peticiones!$C$2:$C$999,peticiones!E$2:E$999)</f>
        <v>Otras Peticiones ANS</v>
      </c>
      <c r="C65" s="1" t="n">
        <f aca="false">LOOKUP($A65,peticiones!$C$2:$C$999,peticiones!F$2:F$999)</f>
        <v>0</v>
      </c>
      <c r="D65" s="1" t="n">
        <f aca="false">LOOKUP($A65,peticiones!$C$2:$C$999,peticiones!G$2:G$999)</f>
        <v>0</v>
      </c>
      <c r="E65" s="1"/>
      <c r="F65" s="1"/>
      <c r="G65" s="1"/>
      <c r="H65" s="1"/>
      <c r="I65" s="1"/>
      <c r="J65" s="1"/>
      <c r="K65" s="1"/>
      <c r="L65" s="1"/>
      <c r="M65" s="16"/>
      <c r="N65" s="16"/>
      <c r="O65" s="16"/>
      <c r="P65" s="16"/>
      <c r="Q65" s="17"/>
    </row>
    <row r="66" customFormat="false" ht="14.25" hidden="false" customHeight="false" outlineLevel="0" collapsed="false">
      <c r="A66" s="1" t="n">
        <v>125053</v>
      </c>
      <c r="B66" s="1" t="str">
        <f aca="false">LOOKUP($A66,peticiones!$C$2:$C$999,peticiones!E$2:E$999)</f>
        <v>Otras Peticiones ANS</v>
      </c>
      <c r="C66" s="1" t="n">
        <f aca="false">LOOKUP($A66,peticiones!$C$2:$C$999,peticiones!F$2:F$999)</f>
        <v>0</v>
      </c>
      <c r="D66" s="1" t="n">
        <f aca="false">LOOKUP($A66,peticiones!$C$2:$C$999,peticiones!G$2:G$999)</f>
        <v>0</v>
      </c>
      <c r="E66" s="1"/>
      <c r="F66" s="1"/>
      <c r="G66" s="1"/>
      <c r="H66" s="1"/>
      <c r="I66" s="1"/>
      <c r="J66" s="1"/>
      <c r="K66" s="1"/>
      <c r="L66" s="1"/>
      <c r="M66" s="16"/>
      <c r="N66" s="16"/>
      <c r="O66" s="16"/>
      <c r="P66" s="16"/>
      <c r="Q66" s="17"/>
    </row>
    <row r="67" customFormat="false" ht="14.25" hidden="false" customHeight="false" outlineLevel="0" collapsed="false">
      <c r="A67" s="1" t="n">
        <v>125079</v>
      </c>
      <c r="B67" s="1" t="str">
        <f aca="false">LOOKUP($A67,peticiones!$C$2:$C$999,peticiones!E$2:E$999)</f>
        <v>Otras Peticiones ANS</v>
      </c>
      <c r="C67" s="1" t="n">
        <f aca="false">LOOKUP($A67,peticiones!$C$2:$C$999,peticiones!F$2:F$999)</f>
        <v>0</v>
      </c>
      <c r="D67" s="1" t="n">
        <f aca="false">LOOKUP($A67,peticiones!$C$2:$C$999,peticiones!G$2:G$999)</f>
        <v>0</v>
      </c>
      <c r="E67" s="1"/>
      <c r="F67" s="1"/>
      <c r="G67" s="1"/>
      <c r="H67" s="1"/>
      <c r="I67" s="1"/>
      <c r="J67" s="1"/>
      <c r="K67" s="1"/>
      <c r="L67" s="1"/>
      <c r="M67" s="16"/>
      <c r="N67" s="16"/>
      <c r="O67" s="16"/>
      <c r="P67" s="16"/>
      <c r="Q67" s="17"/>
    </row>
    <row r="68" customFormat="false" ht="14.25" hidden="false" customHeight="false" outlineLevel="0" collapsed="false">
      <c r="A68" s="1" t="n">
        <v>125095</v>
      </c>
      <c r="B68" s="1" t="str">
        <f aca="false">LOOKUP($A68,peticiones!$C$2:$C$999,peticiones!E$2:E$999)</f>
        <v>Otras Peticiones ANS</v>
      </c>
      <c r="C68" s="1" t="n">
        <f aca="false">LOOKUP($A68,peticiones!$C$2:$C$999,peticiones!F$2:F$999)</f>
        <v>0</v>
      </c>
      <c r="D68" s="1" t="n">
        <f aca="false">LOOKUP($A68,peticiones!$C$2:$C$999,peticiones!G$2:G$999)</f>
        <v>0</v>
      </c>
      <c r="E68" s="1"/>
      <c r="F68" s="1"/>
      <c r="G68" s="1"/>
      <c r="H68" s="1"/>
      <c r="I68" s="1"/>
      <c r="J68" s="1"/>
      <c r="K68" s="1"/>
      <c r="L68" s="1"/>
      <c r="M68" s="16"/>
      <c r="N68" s="16"/>
      <c r="O68" s="16"/>
      <c r="P68" s="16"/>
      <c r="Q68" s="17"/>
    </row>
    <row r="69" customFormat="false" ht="14.25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6"/>
      <c r="N69" s="16"/>
      <c r="O69" s="16"/>
      <c r="P69" s="16"/>
      <c r="Q69" s="17"/>
    </row>
    <row r="70" customFormat="false" ht="14.25" hidden="false" customHeight="false" outlineLevel="0" collapsed="false">
      <c r="A70" s="1" t="n">
        <v>125183</v>
      </c>
      <c r="B70" s="1" t="str">
        <f aca="false">LOOKUP($A70,peticiones!$C$2:$C$999,peticiones!E$2:E$999)</f>
        <v>Otras Peticiones ANS</v>
      </c>
      <c r="C70" s="1" t="n">
        <f aca="false">LOOKUP($A70,peticiones!$C$2:$C$999,peticiones!F$2:F$999)</f>
        <v>0</v>
      </c>
      <c r="D70" s="1" t="n">
        <f aca="false">LOOKUP($A70,peticiones!$C$2:$C$999,peticiones!G$2:G$999)</f>
        <v>0</v>
      </c>
      <c r="E70" s="1"/>
      <c r="F70" s="1"/>
      <c r="G70" s="1"/>
      <c r="H70" s="1"/>
      <c r="I70" s="1"/>
      <c r="J70" s="1"/>
      <c r="K70" s="1"/>
      <c r="L70" s="1"/>
      <c r="M70" s="16"/>
      <c r="N70" s="16"/>
      <c r="O70" s="16"/>
      <c r="P70" s="16"/>
      <c r="Q70" s="17"/>
    </row>
    <row r="71" customFormat="false" ht="14.25" hidden="false" customHeight="false" outlineLevel="0" collapsed="false">
      <c r="A71" s="1" t="n">
        <v>125218</v>
      </c>
      <c r="B71" s="1" t="str">
        <f aca="false">LOOKUP($A71,peticiones!$C$2:$C$999,peticiones!E$2:E$999)</f>
        <v>Otras Peticiones ANS</v>
      </c>
      <c r="C71" s="1" t="n">
        <f aca="false">LOOKUP($A71,peticiones!$C$2:$C$999,peticiones!F$2:F$999)</f>
        <v>0</v>
      </c>
      <c r="D71" s="1" t="n">
        <f aca="false">LOOKUP($A71,peticiones!$C$2:$C$999,peticiones!G$2:G$999)</f>
        <v>0</v>
      </c>
      <c r="E71" s="1"/>
      <c r="F71" s="1"/>
      <c r="G71" s="1"/>
      <c r="H71" s="1"/>
      <c r="I71" s="1"/>
      <c r="J71" s="1"/>
      <c r="K71" s="1"/>
      <c r="L71" s="1"/>
      <c r="M71" s="16"/>
      <c r="N71" s="16"/>
      <c r="O71" s="16"/>
      <c r="P71" s="16"/>
      <c r="Q71" s="17"/>
    </row>
    <row r="72" customFormat="false" ht="14.25" hidden="false" customHeight="false" outlineLevel="0" collapsed="false">
      <c r="A72" s="1" t="n">
        <v>125219</v>
      </c>
      <c r="B72" s="1" t="str">
        <f aca="false">LOOKUP($A72,peticiones!$C$2:$C$999,peticiones!E$2:E$999)</f>
        <v>Otras Peticiones ANS</v>
      </c>
      <c r="C72" s="1" t="n">
        <f aca="false">LOOKUP($A72,peticiones!$C$2:$C$999,peticiones!F$2:F$999)</f>
        <v>0</v>
      </c>
      <c r="D72" s="1" t="n">
        <f aca="false">LOOKUP($A72,peticiones!$C$2:$C$999,peticiones!G$2:G$999)</f>
        <v>0</v>
      </c>
      <c r="E72" s="1"/>
      <c r="F72" s="1"/>
      <c r="G72" s="1"/>
      <c r="H72" s="1"/>
      <c r="I72" s="1"/>
      <c r="J72" s="1"/>
      <c r="K72" s="1"/>
      <c r="L72" s="1"/>
      <c r="M72" s="16"/>
      <c r="N72" s="16"/>
      <c r="O72" s="16"/>
      <c r="P72" s="16"/>
      <c r="Q72" s="17"/>
    </row>
    <row r="73" customFormat="false" ht="14.25" hidden="false" customHeight="fals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6"/>
      <c r="N73" s="16"/>
      <c r="O73" s="16"/>
      <c r="P73" s="16"/>
      <c r="Q73" s="17"/>
    </row>
    <row r="74" customFormat="false" ht="14.25" hidden="false" customHeight="fals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6"/>
      <c r="N74" s="16"/>
      <c r="O74" s="16"/>
      <c r="P74" s="16"/>
      <c r="Q74" s="17"/>
    </row>
    <row r="75" customFormat="false" ht="14.25" hidden="false" customHeight="fals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6"/>
      <c r="N75" s="16"/>
      <c r="O75" s="16"/>
      <c r="P75" s="16"/>
      <c r="Q75" s="17"/>
    </row>
    <row r="76" customFormat="false" ht="14.25" hidden="false" customHeight="false" outlineLevel="0" collapsed="false">
      <c r="A76" s="1" t="n">
        <v>125375</v>
      </c>
      <c r="B76" s="1" t="str">
        <f aca="false">LOOKUP($A76,peticiones!$C$2:$C$999,peticiones!E$2:E$999)</f>
        <v>Otras Peticiones ANS</v>
      </c>
      <c r="C76" s="1" t="n">
        <f aca="false">LOOKUP($A76,peticiones!$C$2:$C$999,peticiones!F$2:F$999)</f>
        <v>0</v>
      </c>
      <c r="D76" s="1" t="n">
        <f aca="false">LOOKUP($A76,peticiones!$C$2:$C$999,peticiones!G$2:G$999)</f>
        <v>0</v>
      </c>
      <c r="E76" s="1"/>
      <c r="F76" s="1"/>
      <c r="G76" s="1"/>
      <c r="H76" s="1"/>
      <c r="I76" s="1"/>
      <c r="J76" s="1"/>
      <c r="K76" s="1"/>
      <c r="L76" s="1"/>
      <c r="M76" s="16"/>
      <c r="N76" s="16"/>
      <c r="O76" s="16"/>
      <c r="P76" s="16"/>
      <c r="Q76" s="17"/>
    </row>
    <row r="77" customFormat="false" ht="14.25" hidden="false" customHeight="fals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6"/>
      <c r="N77" s="16"/>
      <c r="O77" s="16"/>
      <c r="P77" s="16"/>
      <c r="Q77" s="17"/>
    </row>
    <row r="78" customFormat="false" ht="14.25" hidden="false" customHeight="false" outlineLevel="0" collapsed="false">
      <c r="A78" s="1" t="n">
        <v>125436</v>
      </c>
      <c r="B78" s="1" t="str">
        <f aca="false">LOOKUP($A78,peticiones!$C$2:$C$999,peticiones!E$2:E$999)</f>
        <v>Otras Peticiones ANS</v>
      </c>
      <c r="C78" s="1" t="n">
        <f aca="false">LOOKUP($A78,peticiones!$C$2:$C$999,peticiones!F$2:F$999)</f>
        <v>0</v>
      </c>
      <c r="D78" s="1" t="n">
        <f aca="false">LOOKUP($A78,peticiones!$C$2:$C$999,peticiones!G$2:G$999)</f>
        <v>0</v>
      </c>
      <c r="E78" s="1"/>
      <c r="F78" s="1"/>
      <c r="G78" s="1"/>
      <c r="H78" s="1"/>
      <c r="I78" s="1"/>
      <c r="J78" s="1"/>
      <c r="K78" s="1"/>
      <c r="L78" s="1"/>
      <c r="M78" s="16"/>
      <c r="N78" s="16"/>
      <c r="O78" s="16"/>
      <c r="P78" s="16"/>
      <c r="Q78" s="17"/>
    </row>
    <row r="79" customFormat="false" ht="14.25" hidden="false" customHeight="false" outlineLevel="0" collapsed="false">
      <c r="A79" s="1" t="n">
        <v>125541</v>
      </c>
      <c r="B79" s="1" t="str">
        <f aca="false">LOOKUP($A79,peticiones!$C$2:$C$999,peticiones!E$2:E$999)</f>
        <v>Otras Peticiones ANS</v>
      </c>
      <c r="C79" s="1" t="n">
        <f aca="false">LOOKUP($A79,peticiones!$C$2:$C$999,peticiones!F$2:F$999)</f>
        <v>0</v>
      </c>
      <c r="D79" s="1" t="n">
        <f aca="false">LOOKUP($A79,peticiones!$C$2:$C$999,peticiones!G$2:G$999)</f>
        <v>0</v>
      </c>
      <c r="E79" s="1"/>
      <c r="F79" s="1"/>
      <c r="G79" s="1"/>
      <c r="H79" s="1"/>
      <c r="I79" s="1"/>
      <c r="J79" s="1"/>
      <c r="K79" s="1"/>
      <c r="L79" s="1"/>
      <c r="M79" s="16"/>
      <c r="N79" s="16"/>
      <c r="O79" s="16"/>
      <c r="P79" s="16"/>
      <c r="Q79" s="17"/>
    </row>
    <row r="80" customFormat="false" ht="14.25" hidden="false" customHeight="fals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6"/>
      <c r="N80" s="16"/>
      <c r="O80" s="16"/>
      <c r="P80" s="16"/>
      <c r="Q80" s="17"/>
    </row>
    <row r="81" customFormat="false" ht="14.25" hidden="false" customHeight="fals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6"/>
      <c r="N81" s="16"/>
      <c r="O81" s="16"/>
      <c r="P81" s="16"/>
      <c r="Q81" s="17"/>
    </row>
    <row r="82" customFormat="false" ht="14.25" hidden="false" customHeight="fals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6"/>
      <c r="N82" s="16"/>
      <c r="O82" s="16"/>
      <c r="P82" s="16"/>
      <c r="Q82" s="17"/>
    </row>
    <row r="83" customFormat="false" ht="14.25" hidden="false" customHeight="false" outlineLevel="0" collapsed="false">
      <c r="A83" s="1" t="n">
        <v>125921</v>
      </c>
      <c r="B83" s="1" t="str">
        <f aca="false">LOOKUP($A83,peticiones!$C$2:$C$999,peticiones!E$2:E$999)</f>
        <v>Otras Peticiones ANS</v>
      </c>
      <c r="C83" s="1" t="n">
        <f aca="false">LOOKUP($A83,peticiones!$C$2:$C$999,peticiones!F$2:F$999)</f>
        <v>0</v>
      </c>
      <c r="D83" s="1" t="n">
        <f aca="false">LOOKUP($A83,peticiones!$C$2:$C$999,peticiones!G$2:G$999)</f>
        <v>0</v>
      </c>
      <c r="E83" s="1"/>
      <c r="F83" s="1"/>
      <c r="G83" s="1"/>
      <c r="H83" s="1"/>
      <c r="I83" s="1"/>
      <c r="J83" s="1"/>
      <c r="K83" s="1"/>
      <c r="L83" s="1"/>
      <c r="M83" s="16"/>
      <c r="N83" s="16"/>
      <c r="O83" s="16"/>
      <c r="P83" s="16"/>
      <c r="Q83" s="17"/>
    </row>
    <row r="84" customFormat="false" ht="14.25" hidden="false" customHeight="false" outlineLevel="0" collapsed="false">
      <c r="A84" s="1" t="n">
        <v>125962</v>
      </c>
      <c r="B84" s="1" t="str">
        <f aca="false">LOOKUP($A84,peticiones!$C$2:$C$999,peticiones!E$2:E$999)</f>
        <v>Otras Peticiones ANS</v>
      </c>
      <c r="C84" s="1" t="n">
        <f aca="false">LOOKUP($A84,peticiones!$C$2:$C$999,peticiones!F$2:F$999)</f>
        <v>0</v>
      </c>
      <c r="D84" s="1" t="n">
        <f aca="false">LOOKUP($A84,peticiones!$C$2:$C$999,peticiones!G$2:G$999)</f>
        <v>0</v>
      </c>
      <c r="E84" s="1"/>
      <c r="F84" s="1"/>
      <c r="G84" s="1"/>
      <c r="H84" s="1"/>
      <c r="I84" s="1"/>
      <c r="J84" s="1"/>
      <c r="K84" s="1"/>
      <c r="L84" s="1"/>
      <c r="M84" s="16"/>
      <c r="N84" s="16"/>
      <c r="O84" s="16"/>
      <c r="P84" s="16"/>
      <c r="Q84" s="17"/>
    </row>
    <row r="85" customFormat="false" ht="14.25" hidden="false" customHeight="false" outlineLevel="0" collapsed="false">
      <c r="A85" s="1" t="n">
        <v>126085</v>
      </c>
      <c r="B85" s="1" t="str">
        <f aca="false">LOOKUP($A85,peticiones!$C$2:$C$999,peticiones!E$2:E$999)</f>
        <v>Otras Peticiones ANS</v>
      </c>
      <c r="C85" s="1" t="n">
        <f aca="false">LOOKUP($A85,peticiones!$C$2:$C$999,peticiones!F$2:F$999)</f>
        <v>0</v>
      </c>
      <c r="D85" s="1" t="n">
        <f aca="false">LOOKUP($A85,peticiones!$C$2:$C$999,peticiones!G$2:G$999)</f>
        <v>0</v>
      </c>
      <c r="E85" s="1"/>
      <c r="F85" s="1"/>
      <c r="G85" s="1"/>
      <c r="H85" s="1"/>
      <c r="I85" s="1"/>
      <c r="J85" s="1"/>
      <c r="K85" s="1"/>
      <c r="L85" s="1"/>
      <c r="M85" s="16"/>
      <c r="N85" s="16"/>
      <c r="O85" s="16"/>
      <c r="P85" s="16"/>
      <c r="Q85" s="17"/>
    </row>
    <row r="86" customFormat="false" ht="14.25" hidden="false" customHeight="false" outlineLevel="0" collapsed="false">
      <c r="A86" s="1" t="n">
        <v>126087</v>
      </c>
      <c r="B86" s="1" t="str">
        <f aca="false">LOOKUP($A86,peticiones!$C$2:$C$999,peticiones!E$2:E$999)</f>
        <v>Otras Peticiones ANS</v>
      </c>
      <c r="C86" s="1" t="n">
        <f aca="false">LOOKUP($A86,peticiones!$C$2:$C$999,peticiones!F$2:F$999)</f>
        <v>0</v>
      </c>
      <c r="D86" s="1" t="n">
        <f aca="false">LOOKUP($A86,peticiones!$C$2:$C$999,peticiones!G$2:G$999)</f>
        <v>0</v>
      </c>
      <c r="E86" s="1"/>
      <c r="F86" s="1"/>
      <c r="G86" s="1"/>
      <c r="H86" s="1"/>
      <c r="I86" s="1"/>
      <c r="J86" s="1"/>
      <c r="K86" s="1"/>
      <c r="L86" s="1"/>
      <c r="M86" s="16"/>
      <c r="N86" s="16"/>
      <c r="O86" s="16"/>
      <c r="P86" s="16"/>
      <c r="Q86" s="17"/>
    </row>
    <row r="87" customFormat="false" ht="14.25" hidden="false" customHeight="false" outlineLevel="0" collapsed="false">
      <c r="A87" s="1" t="n">
        <v>126089</v>
      </c>
      <c r="B87" s="1" t="str">
        <f aca="false">LOOKUP($A87,peticiones!$C$2:$C$999,peticiones!E$2:E$999)</f>
        <v>Otras Peticiones ANS</v>
      </c>
      <c r="C87" s="1" t="n">
        <f aca="false">LOOKUP($A87,peticiones!$C$2:$C$999,peticiones!F$2:F$999)</f>
        <v>0</v>
      </c>
      <c r="D87" s="1" t="n">
        <f aca="false">LOOKUP($A87,peticiones!$C$2:$C$999,peticiones!G$2:G$999)</f>
        <v>0</v>
      </c>
      <c r="E87" s="1"/>
      <c r="F87" s="1"/>
      <c r="G87" s="1"/>
      <c r="H87" s="1"/>
      <c r="I87" s="1"/>
      <c r="J87" s="1"/>
      <c r="K87" s="1"/>
      <c r="L87" s="1"/>
      <c r="M87" s="16"/>
      <c r="N87" s="16"/>
      <c r="O87" s="16"/>
      <c r="P87" s="16"/>
      <c r="Q87" s="17"/>
    </row>
    <row r="88" customFormat="false" ht="14.25" hidden="false" customHeight="false" outlineLevel="0" collapsed="false">
      <c r="A88" s="1" t="n">
        <v>126345</v>
      </c>
      <c r="B88" s="1" t="str">
        <f aca="false">LOOKUP($A88,peticiones!$C$2:$C$999,peticiones!E$2:E$999)</f>
        <v>Otras Peticiones ANS</v>
      </c>
      <c r="C88" s="1" t="n">
        <f aca="false">LOOKUP($A88,peticiones!$C$2:$C$999,peticiones!F$2:F$999)</f>
        <v>0</v>
      </c>
      <c r="D88" s="1" t="n">
        <f aca="false">LOOKUP($A88,peticiones!$C$2:$C$999,peticiones!G$2:G$999)</f>
        <v>0</v>
      </c>
      <c r="E88" s="1"/>
      <c r="F88" s="1"/>
      <c r="G88" s="1"/>
      <c r="H88" s="1"/>
      <c r="I88" s="1"/>
      <c r="J88" s="1"/>
      <c r="K88" s="1"/>
      <c r="L88" s="1"/>
      <c r="M88" s="16"/>
      <c r="N88" s="16"/>
      <c r="O88" s="16"/>
      <c r="P88" s="16"/>
      <c r="Q88" s="17"/>
    </row>
    <row r="89" customFormat="false" ht="14.25" hidden="false" customHeight="fals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6"/>
      <c r="N89" s="16"/>
      <c r="O89" s="16"/>
      <c r="P89" s="16"/>
      <c r="Q89" s="17"/>
    </row>
    <row r="90" customFormat="false" ht="14.25" hidden="false" customHeight="fals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6"/>
      <c r="N90" s="16"/>
      <c r="O90" s="16"/>
      <c r="P90" s="16"/>
      <c r="Q90" s="17"/>
    </row>
    <row r="91" customFormat="false" ht="14.25" hidden="false" customHeight="fals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6"/>
      <c r="N91" s="16"/>
      <c r="O91" s="16"/>
      <c r="P91" s="16"/>
      <c r="Q91" s="17"/>
    </row>
    <row r="92" customFormat="false" ht="14.25" hidden="false" customHeight="fals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6"/>
      <c r="N92" s="16"/>
      <c r="O92" s="16"/>
      <c r="P92" s="16"/>
      <c r="Q92" s="17"/>
    </row>
    <row r="93" customFormat="false" ht="14.25" hidden="false" customHeight="fals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6"/>
      <c r="N93" s="16"/>
      <c r="O93" s="16"/>
      <c r="P93" s="16"/>
      <c r="Q93" s="17"/>
    </row>
    <row r="94" customFormat="false" ht="14.25" hidden="false" customHeight="false" outlineLevel="0" collapsed="false">
      <c r="A94" s="1" t="n">
        <v>127409</v>
      </c>
      <c r="B94" s="1" t="str">
        <f aca="false">LOOKUP($A94,peticiones!$C$2:$C$999,peticiones!E$2:E$999)</f>
        <v>Otras Peticiones ANS</v>
      </c>
      <c r="C94" s="1" t="n">
        <f aca="false">LOOKUP($A94,peticiones!$C$2:$C$999,peticiones!F$2:F$999)</f>
        <v>0</v>
      </c>
      <c r="D94" s="1" t="n">
        <f aca="false">LOOKUP($A94,peticiones!$C$2:$C$999,peticiones!G$2:G$999)</f>
        <v>0</v>
      </c>
      <c r="E94" s="1"/>
      <c r="F94" s="1"/>
      <c r="G94" s="1"/>
      <c r="H94" s="1"/>
      <c r="I94" s="1"/>
      <c r="J94" s="1"/>
      <c r="K94" s="1"/>
      <c r="L94" s="1"/>
      <c r="M94" s="16"/>
      <c r="N94" s="16"/>
      <c r="O94" s="16"/>
      <c r="P94" s="16"/>
      <c r="Q94" s="17"/>
    </row>
    <row r="95" customFormat="false" ht="14.25" hidden="false" customHeight="false" outlineLevel="0" collapsed="false">
      <c r="A95" s="1" t="n">
        <v>127410</v>
      </c>
      <c r="B95" s="1" t="str">
        <f aca="false">LOOKUP($A95,peticiones!$C$2:$C$999,peticiones!E$2:E$999)</f>
        <v>Otras Peticiones ANS</v>
      </c>
      <c r="C95" s="1" t="n">
        <f aca="false">LOOKUP($A95,peticiones!$C$2:$C$999,peticiones!F$2:F$999)</f>
        <v>0</v>
      </c>
      <c r="D95" s="1" t="n">
        <f aca="false">LOOKUP($A95,peticiones!$C$2:$C$999,peticiones!G$2:G$999)</f>
        <v>0</v>
      </c>
      <c r="E95" s="1"/>
      <c r="F95" s="1"/>
      <c r="G95" s="1"/>
      <c r="H95" s="1"/>
      <c r="I95" s="1"/>
      <c r="J95" s="1"/>
      <c r="K95" s="1"/>
      <c r="L95" s="1"/>
      <c r="M95" s="16"/>
      <c r="N95" s="16"/>
      <c r="O95" s="16"/>
      <c r="P95" s="16"/>
      <c r="Q95" s="17"/>
    </row>
    <row r="96" customFormat="false" ht="14.25" hidden="false" customHeight="false" outlineLevel="0" collapsed="false">
      <c r="A96" s="1" t="n">
        <v>127422</v>
      </c>
      <c r="B96" s="1" t="str">
        <f aca="false">LOOKUP($A96,peticiones!$C$2:$C$999,peticiones!E$2:E$999)</f>
        <v>Otras Peticiones ANS</v>
      </c>
      <c r="C96" s="1" t="n">
        <f aca="false">LOOKUP($A96,peticiones!$C$2:$C$999,peticiones!F$2:F$999)</f>
        <v>0</v>
      </c>
      <c r="D96" s="1" t="n">
        <f aca="false">LOOKUP($A96,peticiones!$C$2:$C$999,peticiones!G$2:G$999)</f>
        <v>0</v>
      </c>
      <c r="E96" s="1"/>
      <c r="F96" s="1"/>
      <c r="G96" s="1"/>
      <c r="H96" s="1"/>
      <c r="I96" s="1"/>
      <c r="J96" s="1"/>
      <c r="K96" s="1"/>
      <c r="L96" s="1"/>
      <c r="M96" s="16"/>
      <c r="N96" s="16"/>
      <c r="O96" s="16"/>
      <c r="P96" s="16"/>
      <c r="Q96" s="17"/>
    </row>
    <row r="97" customFormat="false" ht="14.25" hidden="false" customHeight="false" outlineLevel="0" collapsed="false">
      <c r="A97" s="1" t="n">
        <v>127509</v>
      </c>
      <c r="B97" s="1" t="str">
        <f aca="false">LOOKUP($A97,peticiones!$C$2:$C$999,peticiones!E$2:E$999)</f>
        <v>Otras Peticiones ANS</v>
      </c>
      <c r="C97" s="1" t="n">
        <f aca="false">LOOKUP($A97,peticiones!$C$2:$C$999,peticiones!F$2:F$999)</f>
        <v>0</v>
      </c>
      <c r="D97" s="1" t="n">
        <f aca="false">LOOKUP($A97,peticiones!$C$2:$C$999,peticiones!G$2:G$999)</f>
        <v>0</v>
      </c>
      <c r="E97" s="1"/>
      <c r="F97" s="1"/>
      <c r="G97" s="1"/>
      <c r="H97" s="1"/>
      <c r="I97" s="1"/>
      <c r="J97" s="1"/>
      <c r="K97" s="1"/>
      <c r="L97" s="1"/>
      <c r="M97" s="16"/>
      <c r="N97" s="16"/>
      <c r="O97" s="16"/>
      <c r="P97" s="16"/>
      <c r="Q97" s="17"/>
    </row>
    <row r="98" customFormat="false" ht="14.25" hidden="false" customHeight="false" outlineLevel="0" collapsed="false">
      <c r="A98" s="1" t="n">
        <v>127691</v>
      </c>
      <c r="B98" s="1" t="str">
        <f aca="false">LOOKUP($A98,peticiones!$C$2:$C$999,peticiones!E$2:E$999)</f>
        <v>Otras Peticiones ANS</v>
      </c>
      <c r="C98" s="1" t="n">
        <f aca="false">LOOKUP($A98,peticiones!$C$2:$C$999,peticiones!F$2:F$999)</f>
        <v>0</v>
      </c>
      <c r="D98" s="1" t="n">
        <f aca="false">LOOKUP($A98,peticiones!$C$2:$C$999,peticiones!G$2:G$999)</f>
        <v>0</v>
      </c>
      <c r="E98" s="1"/>
      <c r="F98" s="1"/>
      <c r="G98" s="1"/>
      <c r="H98" s="1"/>
      <c r="I98" s="1"/>
      <c r="J98" s="1"/>
      <c r="K98" s="1"/>
      <c r="L98" s="1"/>
      <c r="M98" s="16"/>
      <c r="N98" s="16"/>
      <c r="O98" s="16"/>
      <c r="P98" s="16"/>
      <c r="Q98" s="17"/>
    </row>
    <row r="99" customFormat="false" ht="14.25" hidden="false" customHeight="false" outlineLevel="0" collapsed="false">
      <c r="A99" s="1" t="n">
        <v>127692</v>
      </c>
      <c r="B99" s="1" t="str">
        <f aca="false">LOOKUP($A99,peticiones!$C$2:$C$999,peticiones!E$2:E$999)</f>
        <v>Otras Peticiones ANS</v>
      </c>
      <c r="C99" s="1" t="n">
        <f aca="false">LOOKUP($A99,peticiones!$C$2:$C$999,peticiones!F$2:F$999)</f>
        <v>0</v>
      </c>
      <c r="D99" s="1" t="n">
        <f aca="false">LOOKUP($A99,peticiones!$C$2:$C$999,peticiones!G$2:G$999)</f>
        <v>0</v>
      </c>
      <c r="E99" s="1"/>
      <c r="F99" s="1"/>
      <c r="G99" s="1"/>
      <c r="H99" s="1"/>
      <c r="I99" s="1"/>
      <c r="J99" s="1"/>
      <c r="K99" s="1"/>
      <c r="L99" s="1"/>
      <c r="M99" s="16"/>
      <c r="N99" s="16"/>
      <c r="O99" s="16"/>
      <c r="P99" s="16"/>
      <c r="Q99" s="17"/>
    </row>
    <row r="100" customFormat="false" ht="14.25" hidden="false" customHeight="fals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6"/>
      <c r="N100" s="16"/>
      <c r="O100" s="16"/>
      <c r="P100" s="16"/>
      <c r="Q100" s="17"/>
    </row>
    <row r="101" customFormat="false" ht="14.25" hidden="false" customHeight="fals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6"/>
      <c r="N101" s="16"/>
      <c r="O101" s="16"/>
      <c r="P101" s="16"/>
      <c r="Q101" s="17"/>
    </row>
    <row r="102" customFormat="false" ht="14.25" hidden="false" customHeight="false" outlineLevel="0" collapsed="false">
      <c r="A102" s="1" t="n">
        <v>128007</v>
      </c>
      <c r="B102" s="1" t="str">
        <f aca="false">LOOKUP($A102,peticiones!$C$2:$C$999,peticiones!E$2:E$999)</f>
        <v>Otras Peticiones ANS</v>
      </c>
      <c r="C102" s="1" t="n">
        <f aca="false">LOOKUP($A102,peticiones!$C$2:$C$999,peticiones!F$2:F$999)</f>
        <v>0</v>
      </c>
      <c r="D102" s="1" t="n">
        <f aca="false">LOOKUP($A102,peticiones!$C$2:$C$999,peticiones!G$2:G$999)</f>
        <v>0</v>
      </c>
      <c r="E102" s="1"/>
      <c r="F102" s="1"/>
      <c r="G102" s="1"/>
      <c r="H102" s="1"/>
      <c r="I102" s="1"/>
      <c r="J102" s="1"/>
      <c r="K102" s="1"/>
      <c r="L102" s="1"/>
      <c r="M102" s="16"/>
      <c r="N102" s="16"/>
      <c r="O102" s="16"/>
      <c r="P102" s="16"/>
      <c r="Q102" s="17"/>
    </row>
    <row r="103" customFormat="false" ht="14.25" hidden="false" customHeight="fals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6"/>
      <c r="N103" s="16"/>
      <c r="O103" s="16"/>
      <c r="P103" s="16"/>
      <c r="Q103" s="17"/>
    </row>
    <row r="104" customFormat="false" ht="14.25" hidden="false" customHeight="fals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6"/>
      <c r="N104" s="16"/>
      <c r="O104" s="16"/>
      <c r="P104" s="16"/>
      <c r="Q104" s="17"/>
    </row>
    <row r="105" customFormat="false" ht="14.25" hidden="false" customHeight="false" outlineLevel="0" collapsed="false">
      <c r="A105" s="1" t="n">
        <v>128345</v>
      </c>
      <c r="B105" s="1" t="str">
        <f aca="false">LOOKUP($A105,peticiones!$C$2:$C$999,peticiones!E$2:E$999)</f>
        <v>Otras Peticiones ANS</v>
      </c>
      <c r="C105" s="1" t="n">
        <f aca="false">LOOKUP($A105,peticiones!$C$2:$C$999,peticiones!F$2:F$999)</f>
        <v>0</v>
      </c>
      <c r="D105" s="1" t="n">
        <f aca="false">LOOKUP($A105,peticiones!$C$2:$C$999,peticiones!G$2:G$999)</f>
        <v>0</v>
      </c>
      <c r="E105" s="1"/>
      <c r="F105" s="1"/>
      <c r="G105" s="1"/>
      <c r="H105" s="1"/>
      <c r="I105" s="1"/>
      <c r="J105" s="1"/>
      <c r="K105" s="1"/>
      <c r="L105" s="1"/>
      <c r="M105" s="16"/>
      <c r="N105" s="16"/>
      <c r="O105" s="16"/>
      <c r="P105" s="16"/>
      <c r="Q105" s="17"/>
    </row>
    <row r="106" customFormat="false" ht="14.25" hidden="false" customHeight="false" outlineLevel="0" collapsed="false">
      <c r="A106" s="1" t="n">
        <v>128347</v>
      </c>
      <c r="B106" s="1" t="str">
        <f aca="false">LOOKUP($A106,peticiones!$C$2:$C$999,peticiones!E$2:E$999)</f>
        <v>Otras Peticiones ANS</v>
      </c>
      <c r="C106" s="1" t="n">
        <f aca="false">LOOKUP($A106,peticiones!$C$2:$C$999,peticiones!F$2:F$999)</f>
        <v>0</v>
      </c>
      <c r="D106" s="1" t="n">
        <f aca="false">LOOKUP($A106,peticiones!$C$2:$C$999,peticiones!G$2:G$999)</f>
        <v>0</v>
      </c>
      <c r="E106" s="1"/>
      <c r="F106" s="1"/>
      <c r="G106" s="1"/>
      <c r="H106" s="1"/>
      <c r="I106" s="1"/>
      <c r="J106" s="1"/>
      <c r="K106" s="1"/>
      <c r="L106" s="1"/>
      <c r="M106" s="16"/>
      <c r="N106" s="16"/>
      <c r="O106" s="16"/>
      <c r="P106" s="16"/>
      <c r="Q106" s="17"/>
    </row>
    <row r="107" customFormat="false" ht="14.25" hidden="false" customHeight="fals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6"/>
      <c r="N107" s="16"/>
      <c r="O107" s="16"/>
      <c r="P107" s="16"/>
      <c r="Q107" s="17"/>
    </row>
    <row r="108" customFormat="false" ht="14.25" hidden="false" customHeight="false" outlineLevel="0" collapsed="false">
      <c r="A108" s="1" t="n">
        <v>128599</v>
      </c>
      <c r="B108" s="1" t="str">
        <f aca="false">LOOKUP($A108,peticiones!$C$2:$C$999,peticiones!E$2:E$999)</f>
        <v>Otras Peticiones ANS</v>
      </c>
      <c r="C108" s="1" t="n">
        <f aca="false">LOOKUP($A108,peticiones!$C$2:$C$999,peticiones!F$2:F$999)</f>
        <v>0</v>
      </c>
      <c r="D108" s="1" t="n">
        <f aca="false">LOOKUP($A108,peticiones!$C$2:$C$999,peticiones!G$2:G$999)</f>
        <v>0</v>
      </c>
      <c r="E108" s="1"/>
      <c r="F108" s="1"/>
      <c r="G108" s="1"/>
      <c r="H108" s="1"/>
      <c r="I108" s="1"/>
      <c r="J108" s="1"/>
      <c r="K108" s="1"/>
      <c r="L108" s="1"/>
      <c r="M108" s="16"/>
      <c r="N108" s="16"/>
      <c r="O108" s="16"/>
      <c r="P108" s="16"/>
      <c r="Q108" s="17"/>
    </row>
    <row r="109" customFormat="false" ht="14.25" hidden="false" customHeight="fals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6"/>
      <c r="N109" s="16"/>
      <c r="O109" s="16"/>
      <c r="P109" s="16"/>
      <c r="Q109" s="17"/>
    </row>
    <row r="110" customFormat="false" ht="14.25" hidden="false" customHeight="fals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6"/>
      <c r="N110" s="16"/>
      <c r="O110" s="16"/>
      <c r="P110" s="16"/>
      <c r="Q110" s="17"/>
    </row>
    <row r="111" customFormat="false" ht="14.25" hidden="false" customHeight="fals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6"/>
      <c r="N111" s="16"/>
      <c r="O111" s="16"/>
      <c r="P111" s="16"/>
      <c r="Q111" s="17"/>
    </row>
    <row r="112" customFormat="false" ht="14.25" hidden="false" customHeight="false" outlineLevel="0" collapsed="false">
      <c r="A112" s="1" t="n">
        <v>128765</v>
      </c>
      <c r="B112" s="1" t="str">
        <f aca="false">LOOKUP($A112,peticiones!$C$2:$C$999,peticiones!E$2:E$999)</f>
        <v>Otras Peticiones ANS</v>
      </c>
      <c r="C112" s="1" t="n">
        <f aca="false">LOOKUP($A112,peticiones!$C$2:$C$999,peticiones!F$2:F$999)</f>
        <v>0</v>
      </c>
      <c r="D112" s="1" t="n">
        <f aca="false">LOOKUP($A112,peticiones!$C$2:$C$999,peticiones!G$2:G$999)</f>
        <v>0</v>
      </c>
      <c r="E112" s="1"/>
      <c r="F112" s="1"/>
      <c r="G112" s="1"/>
      <c r="H112" s="1"/>
      <c r="I112" s="1"/>
      <c r="J112" s="1"/>
      <c r="K112" s="1"/>
      <c r="L112" s="1"/>
      <c r="M112" s="16"/>
      <c r="N112" s="16"/>
      <c r="O112" s="16"/>
      <c r="P112" s="16"/>
      <c r="Q112" s="17"/>
    </row>
    <row r="113" customFormat="false" ht="14.25" hidden="false" customHeight="fals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6"/>
      <c r="N113" s="16"/>
      <c r="O113" s="16"/>
      <c r="P113" s="16"/>
      <c r="Q113" s="17"/>
    </row>
    <row r="114" customFormat="false" ht="14.25" hidden="false" customHeight="fals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6"/>
      <c r="N114" s="16"/>
      <c r="O114" s="16"/>
      <c r="P114" s="16"/>
      <c r="Q114" s="17"/>
    </row>
    <row r="115" customFormat="false" ht="14.25" hidden="false" customHeight="false" outlineLevel="0" collapsed="false">
      <c r="A115" s="1" t="n">
        <v>129150</v>
      </c>
      <c r="B115" s="1" t="str">
        <f aca="false">LOOKUP($A115,peticiones!$C$2:$C$999,peticiones!E$2:E$999)</f>
        <v>Otras Peticiones ANS</v>
      </c>
      <c r="C115" s="1" t="n">
        <f aca="false">LOOKUP($A115,peticiones!$C$2:$C$999,peticiones!F$2:F$999)</f>
        <v>0</v>
      </c>
      <c r="D115" s="1" t="n">
        <f aca="false">LOOKUP($A115,peticiones!$C$2:$C$999,peticiones!G$2:G$999)</f>
        <v>0</v>
      </c>
      <c r="E115" s="1"/>
      <c r="F115" s="1"/>
      <c r="G115" s="1"/>
      <c r="H115" s="1"/>
      <c r="I115" s="1"/>
      <c r="J115" s="1"/>
      <c r="K115" s="1"/>
      <c r="L115" s="1"/>
      <c r="M115" s="16"/>
      <c r="N115" s="16"/>
      <c r="O115" s="16"/>
      <c r="P115" s="16"/>
      <c r="Q115" s="17"/>
    </row>
    <row r="116" customFormat="false" ht="14.25" hidden="false" customHeight="fals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6"/>
      <c r="N116" s="16"/>
      <c r="O116" s="16"/>
      <c r="P116" s="16"/>
      <c r="Q116" s="17"/>
    </row>
    <row r="117" customFormat="false" ht="14.25" hidden="false" customHeight="fals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6"/>
      <c r="N117" s="16"/>
      <c r="O117" s="16"/>
      <c r="P117" s="16"/>
      <c r="Q117" s="17"/>
    </row>
    <row r="118" customFormat="false" ht="14.25" hidden="false" customHeight="fals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6"/>
      <c r="N118" s="16"/>
      <c r="O118" s="16"/>
      <c r="P118" s="16"/>
      <c r="Q118" s="17"/>
    </row>
    <row r="119" customFormat="false" ht="14.25" hidden="false" customHeight="fals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6"/>
      <c r="N119" s="16"/>
      <c r="O119" s="16"/>
      <c r="P119" s="16"/>
      <c r="Q119" s="17"/>
    </row>
    <row r="120" customFormat="false" ht="14.25" hidden="false" customHeight="fals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6"/>
      <c r="N120" s="16"/>
      <c r="O120" s="16"/>
      <c r="P120" s="16"/>
      <c r="Q120" s="17"/>
    </row>
    <row r="121" customFormat="false" ht="14.25" hidden="false" customHeight="false" outlineLevel="0" collapsed="false">
      <c r="A121" s="1" t="n">
        <v>129376</v>
      </c>
      <c r="B121" s="1" t="str">
        <f aca="false">LOOKUP($A121,peticiones!$C$2:$C$999,peticiones!E$2:E$999)</f>
        <v>Otras Peticiones ANS</v>
      </c>
      <c r="C121" s="1" t="n">
        <f aca="false">LOOKUP($A121,peticiones!$C$2:$C$999,peticiones!F$2:F$999)</f>
        <v>0</v>
      </c>
      <c r="D121" s="1" t="n">
        <f aca="false">LOOKUP($A121,peticiones!$C$2:$C$999,peticiones!G$2:G$999)</f>
        <v>0</v>
      </c>
      <c r="E121" s="1"/>
      <c r="F121" s="1"/>
      <c r="G121" s="1"/>
      <c r="H121" s="1"/>
      <c r="I121" s="1"/>
      <c r="J121" s="1"/>
      <c r="K121" s="1"/>
      <c r="L121" s="1"/>
      <c r="M121" s="16"/>
      <c r="N121" s="16"/>
      <c r="O121" s="16"/>
      <c r="P121" s="16"/>
      <c r="Q121" s="17"/>
    </row>
    <row r="122" customFormat="false" ht="14.25" hidden="false" customHeight="fals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6"/>
      <c r="N122" s="16"/>
      <c r="O122" s="16"/>
      <c r="P122" s="16"/>
      <c r="Q122" s="17"/>
    </row>
    <row r="123" customFormat="false" ht="14.25" hidden="false" customHeight="false" outlineLevel="0" collapsed="false">
      <c r="A123" s="1" t="n">
        <v>129469</v>
      </c>
      <c r="B123" s="1" t="str">
        <f aca="false">LOOKUP($A123,peticiones!$C$2:$C$999,peticiones!E$2:E$999)</f>
        <v>Otras Peticiones ANS</v>
      </c>
      <c r="C123" s="1" t="n">
        <f aca="false">LOOKUP($A123,peticiones!$C$2:$C$999,peticiones!F$2:F$999)</f>
        <v>0</v>
      </c>
      <c r="D123" s="1" t="n">
        <f aca="false">LOOKUP($A123,peticiones!$C$2:$C$999,peticiones!G$2:G$999)</f>
        <v>0</v>
      </c>
      <c r="E123" s="1"/>
      <c r="F123" s="1"/>
      <c r="G123" s="1"/>
      <c r="H123" s="1"/>
      <c r="I123" s="1"/>
      <c r="J123" s="1"/>
      <c r="K123" s="1"/>
      <c r="L123" s="1"/>
      <c r="M123" s="16"/>
      <c r="N123" s="16"/>
      <c r="O123" s="16"/>
      <c r="P123" s="16"/>
      <c r="Q123" s="17"/>
    </row>
    <row r="124" customFormat="false" ht="14.25" hidden="false" customHeight="fals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6"/>
      <c r="N124" s="16"/>
      <c r="O124" s="16"/>
      <c r="P124" s="16"/>
      <c r="Q124" s="17"/>
    </row>
    <row r="125" customFormat="false" ht="14.25" hidden="false" customHeight="fals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6"/>
      <c r="N125" s="16"/>
      <c r="O125" s="16"/>
      <c r="P125" s="16"/>
      <c r="Q125" s="17"/>
    </row>
    <row r="126" customFormat="false" ht="14.25" hidden="false" customHeight="false" outlineLevel="0" collapsed="false">
      <c r="A126" s="1" t="n">
        <v>129595</v>
      </c>
      <c r="B126" s="1" t="str">
        <f aca="false">LOOKUP($A126,peticiones!$C$2:$C$999,peticiones!E$2:E$999)</f>
        <v>Otras Peticiones ANS</v>
      </c>
      <c r="C126" s="1" t="n">
        <f aca="false">LOOKUP($A126,peticiones!$C$2:$C$999,peticiones!F$2:F$999)</f>
        <v>0</v>
      </c>
      <c r="D126" s="1" t="n">
        <f aca="false">LOOKUP($A126,peticiones!$C$2:$C$999,peticiones!G$2:G$999)</f>
        <v>0</v>
      </c>
      <c r="E126" s="1"/>
      <c r="F126" s="1"/>
      <c r="G126" s="1"/>
      <c r="H126" s="1"/>
      <c r="I126" s="1"/>
      <c r="J126" s="1"/>
      <c r="K126" s="1"/>
      <c r="L126" s="1"/>
      <c r="M126" s="16"/>
      <c r="N126" s="16"/>
      <c r="O126" s="16"/>
      <c r="P126" s="16"/>
      <c r="Q126" s="17"/>
    </row>
    <row r="127" customFormat="false" ht="14.25" hidden="false" customHeight="fals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6"/>
      <c r="N127" s="16"/>
      <c r="O127" s="16"/>
      <c r="P127" s="16"/>
      <c r="Q127" s="17"/>
    </row>
    <row r="128" customFormat="false" ht="14.25" hidden="false" customHeight="false" outlineLevel="0" collapsed="false">
      <c r="A128" s="1" t="n">
        <v>129902</v>
      </c>
      <c r="B128" s="1" t="str">
        <f aca="false">LOOKUP($A128,peticiones!$C$2:$C$999,peticiones!E$2:E$999)</f>
        <v>Otras Peticiones ANS</v>
      </c>
      <c r="C128" s="1" t="n">
        <f aca="false">LOOKUP($A128,peticiones!$C$2:$C$999,peticiones!F$2:F$999)</f>
        <v>0</v>
      </c>
      <c r="D128" s="1" t="n">
        <f aca="false">LOOKUP($A128,peticiones!$C$2:$C$999,peticiones!G$2:G$999)</f>
        <v>0</v>
      </c>
      <c r="E128" s="1"/>
      <c r="F128" s="1"/>
      <c r="G128" s="1"/>
      <c r="H128" s="1"/>
      <c r="I128" s="1"/>
      <c r="J128" s="1"/>
      <c r="K128" s="1"/>
      <c r="L128" s="1"/>
      <c r="M128" s="16"/>
      <c r="N128" s="16"/>
      <c r="O128" s="16"/>
      <c r="P128" s="16"/>
      <c r="Q128" s="17"/>
    </row>
    <row r="129" customFormat="false" ht="14.25" hidden="false" customHeight="fals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6"/>
      <c r="N129" s="16"/>
      <c r="O129" s="16"/>
      <c r="P129" s="16"/>
      <c r="Q129" s="17"/>
    </row>
    <row r="130" customFormat="false" ht="14.25" hidden="false" customHeight="false" outlineLevel="0" collapsed="false">
      <c r="A130" s="1" t="n">
        <v>130069</v>
      </c>
      <c r="B130" s="1" t="str">
        <f aca="false">LOOKUP($A130,peticiones!$C$2:$C$999,peticiones!E$2:E$999)</f>
        <v>Otras Peticiones ANS</v>
      </c>
      <c r="C130" s="1" t="n">
        <f aca="false">LOOKUP($A130,peticiones!$C$2:$C$999,peticiones!F$2:F$999)</f>
        <v>0</v>
      </c>
      <c r="D130" s="1" t="n">
        <f aca="false">LOOKUP($A130,peticiones!$C$2:$C$999,peticiones!G$2:G$999)</f>
        <v>0</v>
      </c>
      <c r="E130" s="1"/>
      <c r="F130" s="1"/>
      <c r="G130" s="1"/>
      <c r="H130" s="1"/>
      <c r="I130" s="1"/>
      <c r="J130" s="1"/>
      <c r="K130" s="1"/>
      <c r="L130" s="1"/>
      <c r="M130" s="16"/>
      <c r="N130" s="16"/>
      <c r="O130" s="16"/>
      <c r="P130" s="16"/>
      <c r="Q130" s="17"/>
    </row>
    <row r="131" customFormat="false" ht="14.25" hidden="false" customHeight="fals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6"/>
      <c r="N131" s="16"/>
      <c r="O131" s="16"/>
      <c r="P131" s="16"/>
      <c r="Q131" s="17"/>
    </row>
    <row r="132" customFormat="false" ht="14.25" hidden="false" customHeight="false" outlineLevel="0" collapsed="false">
      <c r="A132" s="1" t="n">
        <v>130164</v>
      </c>
      <c r="B132" s="1" t="str">
        <f aca="false">LOOKUP($A132,peticiones!$C$2:$C$999,peticiones!E$2:E$999)</f>
        <v>Otras Peticiones ANS</v>
      </c>
      <c r="C132" s="1" t="n">
        <f aca="false">LOOKUP($A132,peticiones!$C$2:$C$999,peticiones!F$2:F$999)</f>
        <v>0</v>
      </c>
      <c r="D132" s="1" t="n">
        <f aca="false">LOOKUP($A132,peticiones!$C$2:$C$999,peticiones!G$2:G$999)</f>
        <v>0</v>
      </c>
      <c r="E132" s="1"/>
      <c r="F132" s="1"/>
      <c r="G132" s="1"/>
      <c r="H132" s="1"/>
      <c r="I132" s="1"/>
      <c r="J132" s="1"/>
      <c r="K132" s="1"/>
      <c r="L132" s="1"/>
      <c r="M132" s="16"/>
      <c r="N132" s="16"/>
      <c r="O132" s="16"/>
      <c r="P132" s="16"/>
      <c r="Q132" s="17"/>
    </row>
    <row r="133" customFormat="false" ht="14.25" hidden="false" customHeight="fals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6"/>
      <c r="N133" s="16"/>
      <c r="O133" s="16"/>
      <c r="P133" s="16"/>
      <c r="Q133" s="17"/>
    </row>
    <row r="134" customFormat="false" ht="14.25" hidden="false" customHeight="fals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6"/>
      <c r="N134" s="16"/>
      <c r="O134" s="16"/>
      <c r="P134" s="16"/>
      <c r="Q134" s="17"/>
    </row>
    <row r="135" customFormat="false" ht="14.25" hidden="false" customHeight="fals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6"/>
      <c r="N135" s="16"/>
      <c r="O135" s="16"/>
      <c r="P135" s="16"/>
      <c r="Q135" s="17"/>
    </row>
    <row r="136" customFormat="false" ht="14.25" hidden="false" customHeight="false" outlineLevel="0" collapsed="false">
      <c r="A136" s="1" t="n">
        <v>130506</v>
      </c>
      <c r="B136" s="1" t="str">
        <f aca="false">LOOKUP($A136,peticiones!$C$2:$C$999,peticiones!E$2:E$999)</f>
        <v>Otras Peticiones ANS</v>
      </c>
      <c r="C136" s="1" t="n">
        <f aca="false">LOOKUP($A136,peticiones!$C$2:$C$999,peticiones!F$2:F$999)</f>
        <v>0</v>
      </c>
      <c r="D136" s="1" t="n">
        <f aca="false">LOOKUP($A136,peticiones!$C$2:$C$999,peticiones!G$2:G$999)</f>
        <v>0</v>
      </c>
      <c r="E136" s="1"/>
      <c r="F136" s="1"/>
      <c r="G136" s="1"/>
      <c r="H136" s="1"/>
      <c r="I136" s="1"/>
      <c r="J136" s="1"/>
      <c r="K136" s="1"/>
      <c r="L136" s="1"/>
      <c r="M136" s="16"/>
      <c r="N136" s="16"/>
      <c r="O136" s="16"/>
      <c r="P136" s="16"/>
      <c r="Q136" s="17"/>
    </row>
    <row r="137" customFormat="false" ht="14.25" hidden="false" customHeight="fals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6"/>
      <c r="N137" s="16"/>
      <c r="O137" s="16"/>
      <c r="P137" s="16"/>
      <c r="Q137" s="17"/>
    </row>
    <row r="138" customFormat="false" ht="14.25" hidden="false" customHeight="fals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6"/>
      <c r="N138" s="16"/>
      <c r="O138" s="16"/>
      <c r="P138" s="16"/>
      <c r="Q138" s="17"/>
    </row>
    <row r="139" customFormat="false" ht="14.25" hidden="false" customHeight="fals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6"/>
      <c r="N139" s="16"/>
      <c r="O139" s="16"/>
      <c r="P139" s="16"/>
      <c r="Q139" s="17"/>
    </row>
    <row r="140" customFormat="false" ht="14.25" hidden="false" customHeight="fals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6"/>
      <c r="N140" s="16"/>
      <c r="O140" s="16"/>
      <c r="P140" s="16"/>
      <c r="Q140" s="17"/>
    </row>
    <row r="141" customFormat="false" ht="14.25" hidden="false" customHeight="fals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6"/>
      <c r="N141" s="16"/>
      <c r="O141" s="16"/>
      <c r="P141" s="16"/>
      <c r="Q141" s="17"/>
    </row>
    <row r="142" customFormat="false" ht="14.25" hidden="false" customHeight="fals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6"/>
      <c r="N142" s="16"/>
      <c r="O142" s="16"/>
      <c r="P142" s="16"/>
      <c r="Q142" s="17"/>
    </row>
    <row r="143" customFormat="false" ht="14.25" hidden="false" customHeight="fals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6"/>
      <c r="N143" s="16"/>
      <c r="O143" s="16"/>
      <c r="P143" s="16"/>
      <c r="Q143" s="17"/>
    </row>
    <row r="144" customFormat="false" ht="14.25" hidden="false" customHeight="fals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6"/>
      <c r="N144" s="16"/>
      <c r="O144" s="16"/>
      <c r="P144" s="16"/>
      <c r="Q144" s="17"/>
    </row>
    <row r="145" customFormat="false" ht="14.25" hidden="false" customHeight="fals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6"/>
      <c r="N145" s="16"/>
      <c r="O145" s="16"/>
      <c r="P145" s="16"/>
      <c r="Q145" s="17"/>
    </row>
    <row r="146" customFormat="false" ht="14.25" hidden="false" customHeight="fals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6"/>
      <c r="N146" s="16"/>
      <c r="O146" s="16"/>
      <c r="P146" s="16"/>
      <c r="Q146" s="17"/>
    </row>
    <row r="147" customFormat="false" ht="14.25" hidden="false" customHeight="false" outlineLevel="0" collapsed="false">
      <c r="A147" s="1" t="n">
        <v>131048</v>
      </c>
      <c r="B147" s="1" t="str">
        <f aca="false">LOOKUP($A147,peticiones!$C$2:$C$999,peticiones!E$2:E$999)</f>
        <v>Otras Peticiones ANS</v>
      </c>
      <c r="C147" s="1" t="n">
        <f aca="false">LOOKUP($A147,peticiones!$C$2:$C$999,peticiones!F$2:F$999)</f>
        <v>0</v>
      </c>
      <c r="D147" s="1" t="n">
        <f aca="false">LOOKUP($A147,peticiones!$C$2:$C$999,peticiones!G$2:G$999)</f>
        <v>0</v>
      </c>
      <c r="E147" s="1"/>
      <c r="F147" s="1"/>
      <c r="G147" s="1"/>
      <c r="H147" s="1"/>
      <c r="I147" s="1"/>
      <c r="J147" s="1"/>
      <c r="K147" s="1"/>
      <c r="L147" s="1"/>
      <c r="M147" s="16"/>
      <c r="N147" s="16"/>
      <c r="O147" s="16"/>
      <c r="P147" s="16"/>
      <c r="Q147" s="17"/>
    </row>
    <row r="148" customFormat="false" ht="14.25" hidden="false" customHeight="false" outlineLevel="0" collapsed="false">
      <c r="A148" s="1" t="n">
        <v>131057</v>
      </c>
      <c r="B148" s="1" t="str">
        <f aca="false">LOOKUP($A148,peticiones!$C$2:$C$999,peticiones!E$2:E$999)</f>
        <v>Otras Peticiones ANS</v>
      </c>
      <c r="C148" s="1" t="n">
        <f aca="false">LOOKUP($A148,peticiones!$C$2:$C$999,peticiones!F$2:F$999)</f>
        <v>0</v>
      </c>
      <c r="D148" s="1" t="n">
        <f aca="false">LOOKUP($A148,peticiones!$C$2:$C$999,peticiones!G$2:G$999)</f>
        <v>0</v>
      </c>
      <c r="E148" s="1"/>
      <c r="F148" s="1"/>
      <c r="G148" s="1"/>
      <c r="H148" s="1"/>
      <c r="I148" s="1"/>
      <c r="J148" s="1"/>
      <c r="K148" s="1"/>
      <c r="L148" s="1"/>
      <c r="M148" s="16"/>
      <c r="N148" s="16"/>
      <c r="O148" s="16"/>
      <c r="P148" s="16"/>
      <c r="Q148" s="17"/>
    </row>
    <row r="149" customFormat="false" ht="14.25" hidden="false" customHeight="fals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6"/>
      <c r="N149" s="16"/>
      <c r="O149" s="16"/>
      <c r="P149" s="16"/>
      <c r="Q149" s="17"/>
    </row>
    <row r="150" customFormat="false" ht="14.25" hidden="false" customHeight="fals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6"/>
      <c r="N150" s="16"/>
      <c r="O150" s="16"/>
      <c r="P150" s="16"/>
      <c r="Q150" s="17"/>
    </row>
    <row r="151" customFormat="false" ht="14.25" hidden="false" customHeight="fals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6"/>
      <c r="N151" s="16"/>
      <c r="O151" s="16"/>
      <c r="P151" s="16"/>
      <c r="Q151" s="17"/>
    </row>
    <row r="152" customFormat="false" ht="14.25" hidden="false" customHeight="fals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6"/>
      <c r="N152" s="16"/>
      <c r="O152" s="16"/>
      <c r="P152" s="16"/>
      <c r="Q152" s="17"/>
    </row>
    <row r="153" customFormat="false" ht="14.25" hidden="false" customHeight="fals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6"/>
      <c r="N153" s="16"/>
      <c r="O153" s="16"/>
      <c r="P153" s="16"/>
      <c r="Q153" s="17"/>
    </row>
    <row r="154" customFormat="false" ht="14.25" hidden="false" customHeight="fals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6"/>
      <c r="N154" s="16"/>
      <c r="O154" s="16"/>
      <c r="P154" s="16"/>
      <c r="Q154" s="17"/>
    </row>
    <row r="155" customFormat="false" ht="14.25" hidden="false" customHeight="fals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6"/>
      <c r="N155" s="16"/>
      <c r="O155" s="16"/>
      <c r="P155" s="16"/>
      <c r="Q155" s="17"/>
    </row>
    <row r="156" customFormat="false" ht="14.25" hidden="false" customHeight="fals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6"/>
      <c r="N156" s="16"/>
      <c r="O156" s="16"/>
      <c r="P156" s="16"/>
      <c r="Q156" s="17"/>
    </row>
    <row r="157" customFormat="false" ht="14.25" hidden="false" customHeight="fals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6"/>
      <c r="N157" s="16"/>
      <c r="O157" s="16"/>
      <c r="P157" s="16"/>
      <c r="Q157" s="17"/>
    </row>
    <row r="158" customFormat="false" ht="14.25" hidden="false" customHeight="fals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6"/>
      <c r="N158" s="16"/>
      <c r="O158" s="16"/>
      <c r="P158" s="16"/>
      <c r="Q158" s="17"/>
    </row>
    <row r="159" customFormat="false" ht="14.25" hidden="false" customHeight="fals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6"/>
      <c r="N159" s="16"/>
      <c r="O159" s="16"/>
      <c r="P159" s="16"/>
      <c r="Q159" s="17"/>
    </row>
    <row r="160" customFormat="false" ht="14.25" hidden="false" customHeight="false" outlineLevel="0" collapsed="false">
      <c r="A160" s="1" t="n">
        <v>131275</v>
      </c>
      <c r="B160" s="1" t="str">
        <f aca="false">LOOKUP($A160,peticiones!$C$2:$C$999,peticiones!E$2:E$999)</f>
        <v>Otras Peticiones ANS</v>
      </c>
      <c r="C160" s="1" t="n">
        <f aca="false">LOOKUP($A160,peticiones!$C$2:$C$999,peticiones!F$2:F$999)</f>
        <v>0</v>
      </c>
      <c r="D160" s="1" t="n">
        <f aca="false">LOOKUP($A160,peticiones!$C$2:$C$999,peticiones!G$2:G$999)</f>
        <v>0</v>
      </c>
      <c r="E160" s="1"/>
      <c r="F160" s="1"/>
      <c r="G160" s="1"/>
      <c r="H160" s="1"/>
      <c r="I160" s="1"/>
      <c r="J160" s="1"/>
      <c r="K160" s="1"/>
      <c r="L160" s="1"/>
      <c r="M160" s="16"/>
      <c r="N160" s="16"/>
      <c r="O160" s="16"/>
      <c r="P160" s="16"/>
      <c r="Q160" s="17"/>
    </row>
    <row r="161" customFormat="false" ht="14.25" hidden="false" customHeight="false" outlineLevel="0" collapsed="false">
      <c r="A161" s="1" t="n">
        <v>131278</v>
      </c>
      <c r="B161" s="1" t="str">
        <f aca="false">LOOKUP($A161,peticiones!$C$2:$C$999,peticiones!E$2:E$999)</f>
        <v>Otras Peticiones ANS</v>
      </c>
      <c r="C161" s="1" t="n">
        <f aca="false">LOOKUP($A161,peticiones!$C$2:$C$999,peticiones!F$2:F$999)</f>
        <v>0</v>
      </c>
      <c r="D161" s="1" t="n">
        <f aca="false">LOOKUP($A161,peticiones!$C$2:$C$999,peticiones!G$2:G$999)</f>
        <v>0</v>
      </c>
      <c r="E161" s="1"/>
      <c r="F161" s="1"/>
      <c r="G161" s="1"/>
      <c r="H161" s="1"/>
      <c r="I161" s="1"/>
      <c r="J161" s="1"/>
      <c r="K161" s="1"/>
      <c r="L161" s="1"/>
      <c r="M161" s="16"/>
      <c r="N161" s="16"/>
      <c r="O161" s="16"/>
      <c r="P161" s="16"/>
      <c r="Q161" s="17"/>
    </row>
    <row r="162" customFormat="false" ht="14.25" hidden="false" customHeight="false" outlineLevel="0" collapsed="false">
      <c r="A162" s="1" t="n">
        <v>131312</v>
      </c>
      <c r="B162" s="1" t="str">
        <f aca="false">LOOKUP($A162,peticiones!$C$2:$C$999,peticiones!E$2:E$999)</f>
        <v>Otras Peticiones ANS</v>
      </c>
      <c r="C162" s="1" t="n">
        <f aca="false">LOOKUP($A162,peticiones!$C$2:$C$999,peticiones!F$2:F$999)</f>
        <v>0</v>
      </c>
      <c r="D162" s="1" t="n">
        <f aca="false">LOOKUP($A162,peticiones!$C$2:$C$999,peticiones!G$2:G$999)</f>
        <v>0</v>
      </c>
      <c r="E162" s="1"/>
      <c r="F162" s="1"/>
      <c r="G162" s="1"/>
      <c r="H162" s="1"/>
      <c r="I162" s="1"/>
      <c r="J162" s="1"/>
      <c r="K162" s="1"/>
      <c r="L162" s="1"/>
      <c r="M162" s="16"/>
      <c r="N162" s="16"/>
      <c r="O162" s="16"/>
      <c r="P162" s="16"/>
      <c r="Q162" s="17"/>
    </row>
    <row r="163" customFormat="false" ht="14.25" hidden="false" customHeight="false" outlineLevel="0" collapsed="false">
      <c r="A163" s="1" t="n">
        <v>131319</v>
      </c>
      <c r="B163" s="1" t="str">
        <f aca="false">LOOKUP($A163,peticiones!$C$2:$C$999,peticiones!E$2:E$999)</f>
        <v>Otras Peticiones ANS</v>
      </c>
      <c r="C163" s="1" t="n">
        <f aca="false">LOOKUP($A163,peticiones!$C$2:$C$999,peticiones!F$2:F$999)</f>
        <v>0</v>
      </c>
      <c r="D163" s="1" t="n">
        <f aca="false">LOOKUP($A163,peticiones!$C$2:$C$999,peticiones!G$2:G$999)</f>
        <v>0</v>
      </c>
      <c r="E163" s="1"/>
      <c r="F163" s="1"/>
      <c r="G163" s="1"/>
      <c r="H163" s="1"/>
      <c r="I163" s="1"/>
      <c r="J163" s="1"/>
      <c r="K163" s="1"/>
      <c r="L163" s="1"/>
      <c r="M163" s="16"/>
      <c r="N163" s="16"/>
      <c r="O163" s="16"/>
      <c r="P163" s="16"/>
      <c r="Q163" s="17"/>
    </row>
    <row r="164" customFormat="false" ht="14.25" hidden="false" customHeight="fals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6"/>
      <c r="N164" s="16"/>
      <c r="O164" s="16"/>
      <c r="P164" s="16"/>
      <c r="Q164" s="17"/>
    </row>
    <row r="165" customFormat="false" ht="14.25" hidden="false" customHeight="fals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6"/>
      <c r="N165" s="16"/>
      <c r="O165" s="16"/>
      <c r="P165" s="16"/>
      <c r="Q165" s="17"/>
    </row>
    <row r="166" customFormat="false" ht="14.25" hidden="false" customHeight="fals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6"/>
      <c r="N166" s="16"/>
      <c r="O166" s="16"/>
      <c r="P166" s="16"/>
      <c r="Q166" s="17"/>
    </row>
    <row r="167" customFormat="false" ht="14.25" hidden="false" customHeight="false" outlineLevel="0" collapsed="false">
      <c r="A167" s="1" t="n">
        <v>131667</v>
      </c>
      <c r="B167" s="1" t="str">
        <f aca="false">LOOKUP($A167,peticiones!$C$2:$C$999,peticiones!E$2:E$999)</f>
        <v>Otras Peticiones ANS</v>
      </c>
      <c r="C167" s="1" t="n">
        <f aca="false">LOOKUP($A167,peticiones!$C$2:$C$999,peticiones!F$2:F$999)</f>
        <v>0</v>
      </c>
      <c r="D167" s="1" t="n">
        <f aca="false">LOOKUP($A167,peticiones!$C$2:$C$999,peticiones!G$2:G$999)</f>
        <v>0</v>
      </c>
      <c r="E167" s="1"/>
      <c r="F167" s="1"/>
      <c r="G167" s="1"/>
      <c r="H167" s="1"/>
      <c r="I167" s="1"/>
      <c r="J167" s="1"/>
      <c r="K167" s="1"/>
      <c r="L167" s="1"/>
      <c r="M167" s="16"/>
      <c r="N167" s="16"/>
      <c r="O167" s="16"/>
      <c r="P167" s="16"/>
      <c r="Q167" s="17"/>
    </row>
    <row r="168" customFormat="false" ht="14.25" hidden="false" customHeight="fals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6"/>
      <c r="N168" s="16"/>
      <c r="O168" s="16"/>
      <c r="P168" s="16"/>
      <c r="Q168" s="17"/>
    </row>
    <row r="169" customFormat="false" ht="14.25" hidden="false" customHeight="fals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6"/>
      <c r="N169" s="16"/>
      <c r="O169" s="16"/>
      <c r="P169" s="16"/>
      <c r="Q169" s="17"/>
    </row>
    <row r="170" customFormat="false" ht="14.25" hidden="false" customHeight="fals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6"/>
      <c r="N170" s="16"/>
      <c r="O170" s="16"/>
      <c r="P170" s="16"/>
      <c r="Q170" s="17"/>
    </row>
    <row r="171" customFormat="false" ht="14.25" hidden="false" customHeight="fals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6"/>
      <c r="N171" s="16"/>
      <c r="O171" s="16"/>
      <c r="P171" s="16"/>
      <c r="Q171" s="17"/>
    </row>
    <row r="172" customFormat="false" ht="14.25" hidden="false" customHeight="fals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6"/>
      <c r="N172" s="16"/>
      <c r="O172" s="16"/>
      <c r="P172" s="16"/>
      <c r="Q172" s="17"/>
    </row>
    <row r="173" customFormat="false" ht="14.25" hidden="false" customHeight="fals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6"/>
      <c r="N173" s="16"/>
      <c r="O173" s="16"/>
      <c r="P173" s="16"/>
      <c r="Q173" s="17"/>
    </row>
    <row r="174" customFormat="false" ht="14.25" hidden="false" customHeight="fals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6"/>
      <c r="N174" s="16"/>
      <c r="O174" s="16"/>
      <c r="P174" s="16"/>
      <c r="Q174" s="17"/>
    </row>
    <row r="175" customFormat="false" ht="14.25" hidden="false" customHeight="fals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6"/>
      <c r="N175" s="16"/>
      <c r="O175" s="16"/>
      <c r="P175" s="16"/>
      <c r="Q175" s="17"/>
    </row>
    <row r="176" customFormat="false" ht="14.25" hidden="false" customHeight="fals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6"/>
      <c r="N176" s="16"/>
      <c r="O176" s="16"/>
      <c r="P176" s="16"/>
      <c r="Q176" s="17"/>
    </row>
    <row r="177" customFormat="false" ht="14.25" hidden="false" customHeight="fals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6"/>
      <c r="N177" s="16"/>
      <c r="O177" s="16"/>
      <c r="P177" s="16"/>
      <c r="Q177" s="17"/>
    </row>
    <row r="178" customFormat="false" ht="14.25" hidden="false" customHeight="fals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6"/>
      <c r="N178" s="16"/>
      <c r="O178" s="16"/>
      <c r="P178" s="16"/>
      <c r="Q178" s="17"/>
    </row>
    <row r="179" customFormat="false" ht="14.25" hidden="false" customHeight="fals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6"/>
      <c r="N179" s="16"/>
      <c r="O179" s="16"/>
      <c r="P179" s="16"/>
      <c r="Q179" s="17"/>
    </row>
    <row r="180" customFormat="false" ht="14.25" hidden="false" customHeight="fals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6"/>
      <c r="N180" s="16"/>
      <c r="O180" s="16"/>
      <c r="P180" s="16"/>
      <c r="Q180" s="17"/>
    </row>
    <row r="181" customFormat="false" ht="14.25" hidden="false" customHeight="false" outlineLevel="0" collapsed="false">
      <c r="A181" s="1" t="n">
        <v>132327</v>
      </c>
      <c r="B181" s="1" t="str">
        <f aca="false">LOOKUP($A181,peticiones!$C$2:$C$999,peticiones!E$2:E$999)</f>
        <v>Otras Peticiones ANS</v>
      </c>
      <c r="C181" s="1" t="n">
        <f aca="false">LOOKUP($A181,peticiones!$C$2:$C$999,peticiones!F$2:F$999)</f>
        <v>0</v>
      </c>
      <c r="D181" s="1" t="n">
        <f aca="false">LOOKUP($A181,peticiones!$C$2:$C$999,peticiones!G$2:G$999)</f>
        <v>0</v>
      </c>
      <c r="E181" s="1"/>
      <c r="F181" s="1"/>
      <c r="G181" s="1"/>
      <c r="H181" s="1"/>
      <c r="I181" s="1"/>
      <c r="J181" s="1"/>
      <c r="K181" s="1"/>
      <c r="L181" s="1"/>
      <c r="M181" s="16"/>
      <c r="N181" s="16"/>
      <c r="O181" s="16"/>
      <c r="P181" s="16"/>
      <c r="Q181" s="17"/>
    </row>
    <row r="182" customFormat="false" ht="14.25" hidden="false" customHeight="fals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6"/>
      <c r="N182" s="16"/>
      <c r="O182" s="16"/>
      <c r="P182" s="16"/>
      <c r="Q182" s="17"/>
    </row>
    <row r="183" customFormat="false" ht="14.25" hidden="false" customHeight="false" outlineLevel="0" collapsed="false">
      <c r="A183" s="1" t="n">
        <v>132382</v>
      </c>
      <c r="B183" s="1" t="str">
        <f aca="false">LOOKUP($A183,peticiones!$C$2:$C$999,peticiones!E$2:E$999)</f>
        <v>Otras Peticiones ANS</v>
      </c>
      <c r="C183" s="1" t="n">
        <f aca="false">LOOKUP($A183,peticiones!$C$2:$C$999,peticiones!F$2:F$999)</f>
        <v>0</v>
      </c>
      <c r="D183" s="1" t="n">
        <f aca="false">LOOKUP($A183,peticiones!$C$2:$C$999,peticiones!G$2:G$999)</f>
        <v>0</v>
      </c>
      <c r="E183" s="1"/>
      <c r="F183" s="1"/>
      <c r="G183" s="1"/>
      <c r="H183" s="1"/>
      <c r="I183" s="1"/>
      <c r="J183" s="1"/>
      <c r="K183" s="1"/>
      <c r="L183" s="1"/>
      <c r="M183" s="16"/>
      <c r="N183" s="16"/>
      <c r="O183" s="16"/>
      <c r="P183" s="16"/>
      <c r="Q183" s="17"/>
    </row>
    <row r="184" customFormat="false" ht="14.25" hidden="false" customHeight="fals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6"/>
      <c r="N184" s="16"/>
      <c r="O184" s="16"/>
      <c r="P184" s="16"/>
      <c r="Q184" s="17"/>
    </row>
    <row r="185" customFormat="false" ht="14.25" hidden="false" customHeight="fals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6"/>
      <c r="N185" s="16"/>
      <c r="O185" s="16"/>
      <c r="P185" s="16"/>
      <c r="Q185" s="17"/>
    </row>
    <row r="186" customFormat="false" ht="14.25" hidden="false" customHeight="fals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6"/>
      <c r="N186" s="16"/>
      <c r="O186" s="16"/>
      <c r="P186" s="16"/>
      <c r="Q186" s="17"/>
    </row>
    <row r="187" customFormat="false" ht="14.25" hidden="false" customHeight="fals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6"/>
      <c r="N187" s="16"/>
      <c r="O187" s="16"/>
      <c r="P187" s="16"/>
      <c r="Q187" s="17"/>
    </row>
    <row r="188" customFormat="false" ht="14.25" hidden="false" customHeight="false" outlineLevel="0" collapsed="false">
      <c r="A188" s="1" t="n">
        <v>132506</v>
      </c>
      <c r="B188" s="1" t="str">
        <f aca="false">LOOKUP($A188,peticiones!$C$2:$C$999,peticiones!E$2:E$999)</f>
        <v>Otras Peticiones ANS</v>
      </c>
      <c r="C188" s="1" t="n">
        <f aca="false">LOOKUP($A188,peticiones!$C$2:$C$999,peticiones!F$2:F$999)</f>
        <v>0</v>
      </c>
      <c r="D188" s="1" t="n">
        <f aca="false">LOOKUP($A188,peticiones!$C$2:$C$999,peticiones!G$2:G$999)</f>
        <v>0</v>
      </c>
      <c r="E188" s="1"/>
      <c r="F188" s="1"/>
      <c r="G188" s="1"/>
      <c r="H188" s="1"/>
      <c r="I188" s="1"/>
      <c r="J188" s="1"/>
      <c r="K188" s="1"/>
      <c r="L188" s="1"/>
      <c r="M188" s="16"/>
      <c r="N188" s="16"/>
      <c r="O188" s="16"/>
      <c r="P188" s="16"/>
      <c r="Q188" s="17"/>
    </row>
    <row r="189" customFormat="false" ht="14.25" hidden="false" customHeight="fals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6"/>
      <c r="N189" s="16"/>
      <c r="O189" s="16"/>
      <c r="P189" s="16"/>
      <c r="Q189" s="17"/>
    </row>
    <row r="190" customFormat="false" ht="14.25" hidden="false" customHeight="fals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6"/>
      <c r="N190" s="16"/>
      <c r="O190" s="16"/>
      <c r="P190" s="16"/>
      <c r="Q190" s="17"/>
    </row>
    <row r="191" customFormat="false" ht="14.25" hidden="false" customHeight="false" outlineLevel="0" collapsed="false">
      <c r="A191" s="1" t="n">
        <v>132825</v>
      </c>
      <c r="B191" s="1" t="str">
        <f aca="false">LOOKUP($A191,peticiones!$C$2:$C$999,peticiones!E$2:E$999)</f>
        <v>Otras Peticiones ANS</v>
      </c>
      <c r="C191" s="1" t="n">
        <f aca="false">LOOKUP($A191,peticiones!$C$2:$C$999,peticiones!F$2:F$999)</f>
        <v>0</v>
      </c>
      <c r="D191" s="1" t="n">
        <f aca="false">LOOKUP($A191,peticiones!$C$2:$C$999,peticiones!G$2:G$999)</f>
        <v>0</v>
      </c>
      <c r="E191" s="1"/>
      <c r="F191" s="1"/>
      <c r="G191" s="1"/>
      <c r="H191" s="1"/>
      <c r="I191" s="1"/>
      <c r="J191" s="1"/>
      <c r="K191" s="1"/>
      <c r="L191" s="1"/>
      <c r="M191" s="16"/>
      <c r="N191" s="16"/>
      <c r="O191" s="16"/>
      <c r="P191" s="16"/>
      <c r="Q191" s="17"/>
    </row>
    <row r="192" customFormat="false" ht="14.25" hidden="false" customHeight="false" outlineLevel="0" collapsed="false">
      <c r="A192" s="1" t="n">
        <v>132834</v>
      </c>
      <c r="B192" s="1" t="str">
        <f aca="false">LOOKUP($A192,peticiones!$C$2:$C$999,peticiones!E$2:E$999)</f>
        <v>Otras Peticiones ANS</v>
      </c>
      <c r="C192" s="1" t="n">
        <f aca="false">LOOKUP($A192,peticiones!$C$2:$C$999,peticiones!F$2:F$999)</f>
        <v>0</v>
      </c>
      <c r="D192" s="1" t="n">
        <f aca="false">LOOKUP($A192,peticiones!$C$2:$C$999,peticiones!G$2:G$999)</f>
        <v>0</v>
      </c>
      <c r="E192" s="1"/>
      <c r="F192" s="1"/>
      <c r="G192" s="1"/>
      <c r="H192" s="1"/>
      <c r="I192" s="1"/>
      <c r="J192" s="1"/>
      <c r="K192" s="1"/>
      <c r="L192" s="1"/>
      <c r="M192" s="16"/>
      <c r="N192" s="16"/>
      <c r="O192" s="16"/>
      <c r="P192" s="16"/>
      <c r="Q192" s="17"/>
    </row>
    <row r="193" customFormat="false" ht="14.25" hidden="false" customHeight="fals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6"/>
      <c r="N193" s="16"/>
      <c r="O193" s="16"/>
      <c r="P193" s="16"/>
      <c r="Q193" s="17"/>
    </row>
    <row r="194" customFormat="false" ht="14.25" hidden="false" customHeight="fals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6"/>
      <c r="N194" s="16"/>
      <c r="O194" s="16"/>
      <c r="P194" s="16"/>
      <c r="Q194" s="17"/>
    </row>
    <row r="195" customFormat="false" ht="14.25" hidden="false" customHeight="fals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6"/>
      <c r="N195" s="16"/>
      <c r="O195" s="16"/>
      <c r="P195" s="16"/>
      <c r="Q195" s="17"/>
    </row>
    <row r="196" customFormat="false" ht="14.25" hidden="false" customHeight="false" outlineLevel="0" collapsed="false">
      <c r="A196" s="1" t="n">
        <v>133010</v>
      </c>
      <c r="B196" s="1" t="str">
        <f aca="false">LOOKUP($A196,peticiones!$C$2:$C$999,peticiones!E$2:E$999)</f>
        <v>Otras Peticiones ANS</v>
      </c>
      <c r="C196" s="1" t="n">
        <f aca="false">LOOKUP($A196,peticiones!$C$2:$C$999,peticiones!F$2:F$999)</f>
        <v>0</v>
      </c>
      <c r="D196" s="1" t="n">
        <f aca="false">LOOKUP($A196,peticiones!$C$2:$C$999,peticiones!G$2:G$999)</f>
        <v>0</v>
      </c>
      <c r="E196" s="1"/>
      <c r="F196" s="1"/>
      <c r="G196" s="1"/>
      <c r="H196" s="1"/>
      <c r="I196" s="1"/>
      <c r="J196" s="1"/>
      <c r="K196" s="1"/>
      <c r="L196" s="1"/>
      <c r="M196" s="16"/>
      <c r="N196" s="16"/>
      <c r="O196" s="16"/>
      <c r="P196" s="16"/>
      <c r="Q196" s="17"/>
    </row>
    <row r="197" customFormat="false" ht="14.25" hidden="false" customHeight="false" outlineLevel="0" collapsed="false">
      <c r="A197" s="1" t="n">
        <v>133011</v>
      </c>
      <c r="B197" s="1" t="str">
        <f aca="false">LOOKUP($A197,peticiones!$C$2:$C$999,peticiones!E$2:E$999)</f>
        <v>Otras Peticiones ANS</v>
      </c>
      <c r="C197" s="1" t="n">
        <f aca="false">LOOKUP($A197,peticiones!$C$2:$C$999,peticiones!F$2:F$999)</f>
        <v>0</v>
      </c>
      <c r="D197" s="1" t="n">
        <f aca="false">LOOKUP($A197,peticiones!$C$2:$C$999,peticiones!G$2:G$999)</f>
        <v>0</v>
      </c>
      <c r="E197" s="1"/>
      <c r="F197" s="1"/>
      <c r="G197" s="1"/>
      <c r="H197" s="1"/>
      <c r="I197" s="1"/>
      <c r="J197" s="1"/>
      <c r="K197" s="1"/>
      <c r="L197" s="1"/>
      <c r="M197" s="16"/>
      <c r="N197" s="16"/>
      <c r="O197" s="16"/>
      <c r="P197" s="16"/>
      <c r="Q197" s="17"/>
    </row>
    <row r="198" customFormat="false" ht="14.25" hidden="false" customHeight="false" outlineLevel="0" collapsed="false">
      <c r="A198" s="1" t="n">
        <v>133013</v>
      </c>
      <c r="B198" s="1" t="str">
        <f aca="false">LOOKUP($A198,peticiones!$C$2:$C$999,peticiones!E$2:E$999)</f>
        <v>Otras Peticiones ANS</v>
      </c>
      <c r="C198" s="1" t="n">
        <f aca="false">LOOKUP($A198,peticiones!$C$2:$C$999,peticiones!F$2:F$999)</f>
        <v>0</v>
      </c>
      <c r="D198" s="1" t="n">
        <f aca="false">LOOKUP($A198,peticiones!$C$2:$C$999,peticiones!G$2:G$999)</f>
        <v>0</v>
      </c>
      <c r="E198" s="1"/>
      <c r="F198" s="1"/>
      <c r="G198" s="1"/>
      <c r="H198" s="1"/>
      <c r="I198" s="1"/>
      <c r="J198" s="1"/>
      <c r="K198" s="1"/>
      <c r="L198" s="1"/>
      <c r="M198" s="16"/>
      <c r="N198" s="16"/>
      <c r="O198" s="16"/>
      <c r="P198" s="16"/>
      <c r="Q198" s="17"/>
    </row>
    <row r="199" customFormat="false" ht="14.25" hidden="false" customHeight="false" outlineLevel="0" collapsed="false">
      <c r="A199" s="1" t="n">
        <v>133014</v>
      </c>
      <c r="B199" s="1" t="str">
        <f aca="false">LOOKUP($A199,peticiones!$C$2:$C$999,peticiones!E$2:E$999)</f>
        <v>Otras Peticiones ANS</v>
      </c>
      <c r="C199" s="1" t="n">
        <f aca="false">LOOKUP($A199,peticiones!$C$2:$C$999,peticiones!F$2:F$999)</f>
        <v>0</v>
      </c>
      <c r="D199" s="1" t="n">
        <f aca="false">LOOKUP($A199,peticiones!$C$2:$C$999,peticiones!G$2:G$999)</f>
        <v>0</v>
      </c>
      <c r="E199" s="1"/>
      <c r="F199" s="1"/>
      <c r="G199" s="1"/>
      <c r="H199" s="1"/>
      <c r="I199" s="1"/>
      <c r="J199" s="1"/>
      <c r="K199" s="1"/>
      <c r="L199" s="1"/>
      <c r="M199" s="16"/>
      <c r="N199" s="16"/>
      <c r="O199" s="16"/>
      <c r="P199" s="16"/>
      <c r="Q199" s="17"/>
    </row>
    <row r="200" customFormat="false" ht="14.25" hidden="false" customHeight="false" outlineLevel="0" collapsed="false">
      <c r="A200" s="1" t="n">
        <v>133015</v>
      </c>
      <c r="B200" s="1" t="str">
        <f aca="false">LOOKUP($A200,peticiones!$C$2:$C$999,peticiones!E$2:E$999)</f>
        <v>Otras Peticiones ANS</v>
      </c>
      <c r="C200" s="1" t="n">
        <f aca="false">LOOKUP($A200,peticiones!$C$2:$C$999,peticiones!F$2:F$999)</f>
        <v>0</v>
      </c>
      <c r="D200" s="1" t="n">
        <f aca="false">LOOKUP($A200,peticiones!$C$2:$C$999,peticiones!G$2:G$999)</f>
        <v>0</v>
      </c>
      <c r="E200" s="1"/>
      <c r="F200" s="1"/>
      <c r="G200" s="1"/>
      <c r="H200" s="1"/>
      <c r="I200" s="1"/>
      <c r="J200" s="1"/>
      <c r="K200" s="1"/>
      <c r="L200" s="1"/>
      <c r="M200" s="16"/>
      <c r="N200" s="16"/>
      <c r="O200" s="16"/>
      <c r="P200" s="16"/>
      <c r="Q200" s="17"/>
    </row>
    <row r="201" customFormat="false" ht="14.25" hidden="false" customHeight="false" outlineLevel="0" collapsed="false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6"/>
      <c r="N201" s="16"/>
      <c r="O201" s="16"/>
      <c r="P201" s="16"/>
      <c r="Q201" s="17"/>
    </row>
    <row r="202" customFormat="false" ht="14.25" hidden="false" customHeight="false" outlineLevel="0" collapsed="false">
      <c r="A202" s="1" t="n">
        <v>133033</v>
      </c>
      <c r="B202" s="1" t="str">
        <f aca="false">LOOKUP($A202,peticiones!$C$2:$C$999,peticiones!E$2:E$999)</f>
        <v>Otras Peticiones ANS</v>
      </c>
      <c r="C202" s="1" t="n">
        <f aca="false">LOOKUP($A202,peticiones!$C$2:$C$999,peticiones!F$2:F$999)</f>
        <v>0</v>
      </c>
      <c r="D202" s="1" t="n">
        <f aca="false">LOOKUP($A202,peticiones!$C$2:$C$999,peticiones!G$2:G$999)</f>
        <v>0</v>
      </c>
      <c r="E202" s="1"/>
      <c r="F202" s="1"/>
      <c r="G202" s="1"/>
      <c r="H202" s="1"/>
      <c r="I202" s="1"/>
      <c r="J202" s="1"/>
      <c r="K202" s="1"/>
      <c r="L202" s="1"/>
      <c r="M202" s="16"/>
      <c r="N202" s="16"/>
      <c r="O202" s="16"/>
      <c r="P202" s="16"/>
      <c r="Q202" s="17"/>
    </row>
    <row r="203" customFormat="false" ht="14.25" hidden="false" customHeight="false" outlineLevel="0" collapsed="false">
      <c r="A203" s="1" t="n">
        <v>133072</v>
      </c>
      <c r="B203" s="1" t="str">
        <f aca="false">LOOKUP($A203,peticiones!$C$2:$C$999,peticiones!E$2:E$999)</f>
        <v>Otras Peticiones ANS</v>
      </c>
      <c r="C203" s="1" t="n">
        <f aca="false">LOOKUP($A203,peticiones!$C$2:$C$999,peticiones!F$2:F$999)</f>
        <v>0</v>
      </c>
      <c r="D203" s="1" t="n">
        <f aca="false">LOOKUP($A203,peticiones!$C$2:$C$999,peticiones!G$2:G$999)</f>
        <v>0</v>
      </c>
      <c r="E203" s="1"/>
      <c r="F203" s="1"/>
      <c r="G203" s="1"/>
      <c r="H203" s="1"/>
      <c r="I203" s="1"/>
      <c r="J203" s="1"/>
      <c r="K203" s="1"/>
      <c r="L203" s="1"/>
      <c r="M203" s="16"/>
      <c r="N203" s="16"/>
      <c r="O203" s="16"/>
      <c r="P203" s="16"/>
      <c r="Q203" s="17"/>
    </row>
    <row r="204" customFormat="false" ht="14.25" hidden="false" customHeight="false" outlineLevel="0" collapsed="false">
      <c r="A204" s="1" t="n">
        <v>133073</v>
      </c>
      <c r="B204" s="1" t="str">
        <f aca="false">LOOKUP($A204,peticiones!$C$2:$C$999,peticiones!E$2:E$999)</f>
        <v>Otras Peticiones ANS</v>
      </c>
      <c r="C204" s="1" t="n">
        <f aca="false">LOOKUP($A204,peticiones!$C$2:$C$999,peticiones!F$2:F$999)</f>
        <v>0</v>
      </c>
      <c r="D204" s="1" t="n">
        <f aca="false">LOOKUP($A204,peticiones!$C$2:$C$999,peticiones!G$2:G$999)</f>
        <v>0</v>
      </c>
      <c r="E204" s="1"/>
      <c r="F204" s="1"/>
      <c r="G204" s="1"/>
      <c r="H204" s="1"/>
      <c r="I204" s="1"/>
      <c r="J204" s="1"/>
      <c r="K204" s="1"/>
      <c r="L204" s="1"/>
      <c r="M204" s="16"/>
      <c r="N204" s="16"/>
      <c r="O204" s="16"/>
      <c r="P204" s="16"/>
      <c r="Q204" s="17"/>
    </row>
    <row r="205" customFormat="false" ht="14.25" hidden="false" customHeight="false" outlineLevel="0" collapsed="false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6"/>
      <c r="N205" s="16"/>
      <c r="O205" s="16"/>
      <c r="P205" s="16"/>
      <c r="Q205" s="17"/>
    </row>
    <row r="206" customFormat="false" ht="14.25" hidden="false" customHeight="false" outlineLevel="0" collapsed="false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6"/>
      <c r="N206" s="16"/>
      <c r="O206" s="16"/>
      <c r="P206" s="16"/>
      <c r="Q206" s="17"/>
    </row>
    <row r="207" customFormat="false" ht="14.25" hidden="false" customHeight="false" outlineLevel="0" collapsed="false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6"/>
      <c r="N207" s="16"/>
      <c r="O207" s="16"/>
      <c r="P207" s="16"/>
      <c r="Q207" s="17"/>
    </row>
    <row r="208" customFormat="false" ht="14.25" hidden="false" customHeight="false" outlineLevel="0" collapsed="false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6"/>
      <c r="N208" s="16"/>
      <c r="O208" s="16"/>
      <c r="P208" s="16"/>
      <c r="Q208" s="17"/>
    </row>
    <row r="209" customFormat="false" ht="14.25" hidden="false" customHeight="false" outlineLevel="0" collapsed="false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6"/>
      <c r="N209" s="16"/>
      <c r="O209" s="16"/>
      <c r="P209" s="16"/>
      <c r="Q209" s="17"/>
    </row>
    <row r="210" customFormat="false" ht="14.25" hidden="false" customHeight="false" outlineLevel="0" collapsed="false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6"/>
      <c r="N210" s="16"/>
      <c r="O210" s="16"/>
      <c r="P210" s="16"/>
      <c r="Q210" s="17"/>
    </row>
    <row r="211" customFormat="false" ht="14.25" hidden="false" customHeight="false" outlineLevel="0" collapsed="false">
      <c r="A211" s="1" t="n">
        <v>133587</v>
      </c>
      <c r="B211" s="1" t="str">
        <f aca="false">LOOKUP($A211,peticiones!$C$2:$C$999,peticiones!E$2:E$999)</f>
        <v>Otras Peticiones ANS</v>
      </c>
      <c r="C211" s="1" t="n">
        <f aca="false">LOOKUP($A211,peticiones!$C$2:$C$999,peticiones!F$2:F$999)</f>
        <v>0</v>
      </c>
      <c r="D211" s="1" t="n">
        <f aca="false">LOOKUP($A211,peticiones!$C$2:$C$999,peticiones!G$2:G$999)</f>
        <v>0</v>
      </c>
      <c r="E211" s="1"/>
      <c r="F211" s="1"/>
      <c r="G211" s="1"/>
      <c r="H211" s="1"/>
      <c r="I211" s="1"/>
      <c r="J211" s="1"/>
      <c r="K211" s="1"/>
      <c r="L211" s="1"/>
      <c r="M211" s="16"/>
      <c r="N211" s="16"/>
      <c r="O211" s="16"/>
      <c r="P211" s="16"/>
      <c r="Q211" s="17"/>
    </row>
    <row r="212" customFormat="false" ht="14.25" hidden="false" customHeight="false" outlineLevel="0" collapsed="false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6"/>
      <c r="N212" s="16"/>
      <c r="O212" s="16"/>
      <c r="P212" s="16"/>
      <c r="Q212" s="17"/>
    </row>
    <row r="213" customFormat="false" ht="14.25" hidden="false" customHeight="false" outlineLevel="0" collapsed="false">
      <c r="A213" s="1" t="n">
        <v>133859</v>
      </c>
      <c r="B213" s="1" t="str">
        <f aca="false">LOOKUP($A213,peticiones!$C$2:$C$999,peticiones!E$2:E$999)</f>
        <v>Otras Peticiones ANS</v>
      </c>
      <c r="C213" s="1" t="n">
        <f aca="false">LOOKUP($A213,peticiones!$C$2:$C$999,peticiones!F$2:F$999)</f>
        <v>0</v>
      </c>
      <c r="D213" s="1" t="n">
        <f aca="false">LOOKUP($A213,peticiones!$C$2:$C$999,peticiones!G$2:G$999)</f>
        <v>0</v>
      </c>
      <c r="E213" s="1"/>
      <c r="F213" s="1"/>
      <c r="G213" s="1"/>
      <c r="H213" s="1"/>
      <c r="I213" s="1"/>
      <c r="J213" s="1"/>
      <c r="K213" s="1"/>
      <c r="L213" s="1"/>
      <c r="M213" s="16"/>
      <c r="N213" s="16"/>
      <c r="O213" s="16"/>
      <c r="P213" s="16"/>
      <c r="Q213" s="17"/>
    </row>
    <row r="214" customFormat="false" ht="14.25" hidden="false" customHeight="false" outlineLevel="0" collapsed="false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6"/>
      <c r="N214" s="16"/>
      <c r="O214" s="16"/>
      <c r="P214" s="16"/>
      <c r="Q214" s="17"/>
    </row>
    <row r="215" customFormat="false" ht="14.25" hidden="false" customHeight="false" outlineLevel="0" collapsed="false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6"/>
      <c r="N215" s="16"/>
      <c r="O215" s="16"/>
      <c r="P215" s="16"/>
      <c r="Q215" s="17"/>
    </row>
    <row r="216" customFormat="false" ht="14.25" hidden="false" customHeight="false" outlineLevel="0" collapsed="false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6"/>
      <c r="N216" s="16"/>
      <c r="O216" s="16"/>
      <c r="P216" s="16"/>
      <c r="Q216" s="17"/>
    </row>
    <row r="217" customFormat="false" ht="14.25" hidden="false" customHeight="false" outlineLevel="0" collapsed="false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6"/>
      <c r="N217" s="16"/>
      <c r="O217" s="16"/>
      <c r="P217" s="16"/>
      <c r="Q217" s="17"/>
    </row>
    <row r="218" customFormat="false" ht="14.25" hidden="false" customHeight="false" outlineLevel="0" collapsed="false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6"/>
      <c r="N218" s="16"/>
      <c r="O218" s="16"/>
      <c r="P218" s="16"/>
      <c r="Q218" s="17"/>
    </row>
    <row r="219" customFormat="false" ht="14.25" hidden="false" customHeight="false" outlineLevel="0" collapsed="false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6"/>
      <c r="N219" s="16"/>
      <c r="O219" s="16"/>
      <c r="P219" s="16"/>
      <c r="Q219" s="17"/>
    </row>
    <row r="220" customFormat="false" ht="14.25" hidden="false" customHeight="false" outlineLevel="0" collapsed="false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6"/>
      <c r="N220" s="16"/>
      <c r="O220" s="16"/>
      <c r="P220" s="16"/>
      <c r="Q220" s="17"/>
    </row>
    <row r="221" customFormat="false" ht="14.25" hidden="false" customHeight="false" outlineLevel="0" collapsed="fals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6"/>
      <c r="N221" s="16"/>
      <c r="O221" s="16"/>
      <c r="P221" s="16"/>
      <c r="Q221" s="17"/>
    </row>
    <row r="222" customFormat="false" ht="14.25" hidden="false" customHeight="false" outlineLevel="0" collapsed="fals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6"/>
      <c r="N222" s="16"/>
      <c r="O222" s="16"/>
      <c r="P222" s="16"/>
      <c r="Q222" s="17"/>
    </row>
    <row r="223" customFormat="false" ht="14.25" hidden="false" customHeight="false" outlineLevel="0" collapsed="false">
      <c r="A223" s="1" t="n">
        <v>134255</v>
      </c>
      <c r="B223" s="1" t="str">
        <f aca="false">LOOKUP($A223,peticiones!$C$2:$C$999,peticiones!E$2:E$999)</f>
        <v>Otras Peticiones ANS</v>
      </c>
      <c r="C223" s="1" t="n">
        <f aca="false">LOOKUP($A223,peticiones!$C$2:$C$999,peticiones!F$2:F$999)</f>
        <v>0</v>
      </c>
      <c r="D223" s="1" t="n">
        <f aca="false">LOOKUP($A223,peticiones!$C$2:$C$999,peticiones!G$2:G$999)</f>
        <v>0</v>
      </c>
      <c r="E223" s="1"/>
      <c r="F223" s="1"/>
      <c r="G223" s="1"/>
      <c r="H223" s="1"/>
      <c r="I223" s="1"/>
      <c r="J223" s="1"/>
      <c r="K223" s="1"/>
      <c r="L223" s="1"/>
      <c r="M223" s="16"/>
      <c r="N223" s="16"/>
      <c r="O223" s="16"/>
      <c r="P223" s="16"/>
      <c r="Q223" s="17"/>
    </row>
    <row r="224" customFormat="false" ht="14.25" hidden="false" customHeight="false" outlineLevel="0" collapsed="false">
      <c r="A224" s="1" t="n">
        <v>134263</v>
      </c>
      <c r="B224" s="1" t="str">
        <f aca="false">LOOKUP($A224,peticiones!$C$2:$C$999,peticiones!E$2:E$999)</f>
        <v>Otras Peticiones ANS</v>
      </c>
      <c r="C224" s="1" t="n">
        <f aca="false">LOOKUP($A224,peticiones!$C$2:$C$999,peticiones!F$2:F$999)</f>
        <v>0</v>
      </c>
      <c r="D224" s="1" t="n">
        <f aca="false">LOOKUP($A224,peticiones!$C$2:$C$999,peticiones!G$2:G$999)</f>
        <v>0</v>
      </c>
      <c r="E224" s="1"/>
      <c r="F224" s="1"/>
      <c r="G224" s="1"/>
      <c r="H224" s="1"/>
      <c r="I224" s="1"/>
      <c r="J224" s="1"/>
      <c r="K224" s="1"/>
      <c r="L224" s="1"/>
      <c r="M224" s="16"/>
      <c r="N224" s="16"/>
      <c r="O224" s="16"/>
      <c r="P224" s="16"/>
      <c r="Q224" s="17"/>
    </row>
    <row r="225" customFormat="false" ht="14.25" hidden="false" customHeight="false" outlineLevel="0" collapsed="false">
      <c r="A225" s="1" t="n">
        <v>134274</v>
      </c>
      <c r="B225" s="1" t="str">
        <f aca="false">LOOKUP($A225,peticiones!$C$2:$C$999,peticiones!E$2:E$999)</f>
        <v>Otras Peticiones ANS</v>
      </c>
      <c r="C225" s="1" t="n">
        <f aca="false">LOOKUP($A225,peticiones!$C$2:$C$999,peticiones!F$2:F$999)</f>
        <v>0</v>
      </c>
      <c r="D225" s="1" t="n">
        <f aca="false">LOOKUP($A225,peticiones!$C$2:$C$999,peticiones!G$2:G$999)</f>
        <v>0</v>
      </c>
      <c r="E225" s="1"/>
      <c r="F225" s="1"/>
      <c r="G225" s="1"/>
      <c r="H225" s="1"/>
      <c r="I225" s="1"/>
      <c r="J225" s="1"/>
      <c r="K225" s="1"/>
      <c r="L225" s="1"/>
      <c r="M225" s="16"/>
      <c r="N225" s="16"/>
      <c r="O225" s="16"/>
      <c r="P225" s="16"/>
      <c r="Q225" s="17"/>
    </row>
    <row r="226" customFormat="false" ht="14.25" hidden="false" customHeight="false" outlineLevel="0" collapsed="false">
      <c r="A226" s="1" t="n">
        <v>134279</v>
      </c>
      <c r="B226" s="1" t="str">
        <f aca="false">LOOKUP($A226,peticiones!$C$2:$C$999,peticiones!E$2:E$999)</f>
        <v>Otras Peticiones ANS</v>
      </c>
      <c r="C226" s="1" t="n">
        <f aca="false">LOOKUP($A226,peticiones!$C$2:$C$999,peticiones!F$2:F$999)</f>
        <v>0</v>
      </c>
      <c r="D226" s="1" t="n">
        <f aca="false">LOOKUP($A226,peticiones!$C$2:$C$999,peticiones!G$2:G$999)</f>
        <v>0</v>
      </c>
      <c r="E226" s="1"/>
      <c r="F226" s="1"/>
      <c r="G226" s="1"/>
      <c r="H226" s="1"/>
      <c r="I226" s="1"/>
      <c r="J226" s="1"/>
      <c r="K226" s="1"/>
      <c r="L226" s="1"/>
      <c r="M226" s="16"/>
      <c r="N226" s="16"/>
      <c r="O226" s="16"/>
      <c r="P226" s="16"/>
      <c r="Q226" s="17"/>
    </row>
    <row r="227" customFormat="false" ht="14.25" hidden="false" customHeight="false" outlineLevel="0" collapsed="false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6"/>
      <c r="N227" s="16"/>
      <c r="O227" s="16"/>
      <c r="P227" s="16"/>
      <c r="Q227" s="17"/>
    </row>
    <row r="228" customFormat="false" ht="14.25" hidden="false" customHeight="false" outlineLevel="0" collapsed="false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6"/>
      <c r="N228" s="16"/>
      <c r="O228" s="16"/>
      <c r="P228" s="16"/>
      <c r="Q228" s="17"/>
    </row>
    <row r="229" customFormat="false" ht="14.25" hidden="false" customHeight="false" outlineLevel="0" collapsed="false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6"/>
      <c r="N229" s="16"/>
      <c r="O229" s="16"/>
      <c r="P229" s="16"/>
      <c r="Q229" s="17"/>
    </row>
    <row r="230" customFormat="false" ht="14.25" hidden="false" customHeight="false" outlineLevel="0" collapsed="false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6"/>
      <c r="N230" s="16"/>
      <c r="O230" s="16"/>
      <c r="P230" s="16"/>
      <c r="Q230" s="17"/>
    </row>
    <row r="231" customFormat="false" ht="14.25" hidden="false" customHeight="false" outlineLevel="0" collapsed="false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6"/>
      <c r="N231" s="16"/>
      <c r="O231" s="16"/>
      <c r="P231" s="16"/>
      <c r="Q231" s="17"/>
    </row>
    <row r="232" customFormat="false" ht="14.25" hidden="false" customHeight="false" outlineLevel="0" collapsed="false">
      <c r="A232" s="1" t="n">
        <v>134778</v>
      </c>
      <c r="B232" s="1" t="str">
        <f aca="false">LOOKUP($A232,peticiones!$C$2:$C$999,peticiones!E$2:E$999)</f>
        <v>Otras Peticiones ANS</v>
      </c>
      <c r="C232" s="1" t="n">
        <f aca="false">LOOKUP($A232,peticiones!$C$2:$C$999,peticiones!F$2:F$999)</f>
        <v>0</v>
      </c>
      <c r="D232" s="1" t="n">
        <f aca="false">LOOKUP($A232,peticiones!$C$2:$C$999,peticiones!G$2:G$999)</f>
        <v>0</v>
      </c>
      <c r="E232" s="1"/>
      <c r="F232" s="1"/>
      <c r="G232" s="1"/>
      <c r="H232" s="1"/>
      <c r="I232" s="1"/>
      <c r="J232" s="1"/>
      <c r="K232" s="1"/>
      <c r="L232" s="1"/>
      <c r="M232" s="16"/>
      <c r="N232" s="16"/>
      <c r="O232" s="16"/>
      <c r="P232" s="16"/>
      <c r="Q232" s="17"/>
    </row>
    <row r="233" customFormat="false" ht="14.25" hidden="false" customHeight="false" outlineLevel="0" collapsed="false">
      <c r="A233" s="1" t="n">
        <v>134879</v>
      </c>
      <c r="B233" s="1" t="str">
        <f aca="false">LOOKUP($A233,peticiones!$C$2:$C$999,peticiones!E$2:E$999)</f>
        <v>Otras Peticiones ANS</v>
      </c>
      <c r="C233" s="1" t="n">
        <f aca="false">LOOKUP($A233,peticiones!$C$2:$C$999,peticiones!F$2:F$999)</f>
        <v>0</v>
      </c>
      <c r="D233" s="1" t="n">
        <f aca="false">LOOKUP($A233,peticiones!$C$2:$C$999,peticiones!G$2:G$999)</f>
        <v>0</v>
      </c>
      <c r="E233" s="1"/>
      <c r="F233" s="1"/>
      <c r="G233" s="1"/>
      <c r="H233" s="1"/>
      <c r="I233" s="1"/>
      <c r="J233" s="1"/>
      <c r="K233" s="1"/>
      <c r="L233" s="1"/>
      <c r="M233" s="16"/>
      <c r="N233" s="16"/>
      <c r="O233" s="16"/>
      <c r="P233" s="16"/>
      <c r="Q233" s="17"/>
    </row>
    <row r="234" customFormat="false" ht="14.25" hidden="false" customHeight="false" outlineLevel="0" collapsed="false">
      <c r="A234" s="1" t="n">
        <v>134881</v>
      </c>
      <c r="B234" s="1" t="str">
        <f aca="false">LOOKUP($A234,peticiones!$C$2:$C$999,peticiones!E$2:E$999)</f>
        <v>Otras Peticiones ANS</v>
      </c>
      <c r="C234" s="1" t="n">
        <f aca="false">LOOKUP($A234,peticiones!$C$2:$C$999,peticiones!F$2:F$999)</f>
        <v>0</v>
      </c>
      <c r="D234" s="1" t="n">
        <f aca="false">LOOKUP($A234,peticiones!$C$2:$C$999,peticiones!G$2:G$999)</f>
        <v>0</v>
      </c>
      <c r="E234" s="1"/>
      <c r="F234" s="1"/>
      <c r="G234" s="1"/>
      <c r="H234" s="1"/>
      <c r="I234" s="1"/>
      <c r="J234" s="1"/>
      <c r="K234" s="1"/>
      <c r="L234" s="1"/>
      <c r="M234" s="16"/>
      <c r="N234" s="16"/>
      <c r="O234" s="16"/>
      <c r="P234" s="16"/>
      <c r="Q234" s="17"/>
    </row>
    <row r="235" customFormat="false" ht="14.25" hidden="false" customHeight="false" outlineLevel="0" collapsed="false">
      <c r="A235" s="1" t="n">
        <v>134885</v>
      </c>
      <c r="B235" s="1" t="str">
        <f aca="false">LOOKUP($A235,peticiones!$C$2:$C$999,peticiones!E$2:E$999)</f>
        <v>Otras Peticiones ANS</v>
      </c>
      <c r="C235" s="1" t="n">
        <f aca="false">LOOKUP($A235,peticiones!$C$2:$C$999,peticiones!F$2:F$999)</f>
        <v>0</v>
      </c>
      <c r="D235" s="1" t="n">
        <f aca="false">LOOKUP($A235,peticiones!$C$2:$C$999,peticiones!G$2:G$999)</f>
        <v>0</v>
      </c>
      <c r="E235" s="1"/>
      <c r="F235" s="1"/>
      <c r="G235" s="1"/>
      <c r="H235" s="1"/>
      <c r="I235" s="1"/>
      <c r="J235" s="1"/>
      <c r="K235" s="1"/>
      <c r="L235" s="1"/>
      <c r="M235" s="16"/>
      <c r="N235" s="16"/>
      <c r="O235" s="16"/>
      <c r="P235" s="16"/>
      <c r="Q235" s="17"/>
    </row>
    <row r="236" customFormat="false" ht="14.25" hidden="false" customHeight="false" outlineLevel="0" collapsed="false">
      <c r="A236" s="1" t="n">
        <v>134997</v>
      </c>
      <c r="B236" s="1" t="str">
        <f aca="false">LOOKUP($A236,peticiones!$C$2:$C$999,peticiones!E$2:E$999)</f>
        <v>Otras Peticiones ANS</v>
      </c>
      <c r="C236" s="1" t="n">
        <f aca="false">LOOKUP($A236,peticiones!$C$2:$C$999,peticiones!F$2:F$999)</f>
        <v>0</v>
      </c>
      <c r="D236" s="1" t="n">
        <f aca="false">LOOKUP($A236,peticiones!$C$2:$C$999,peticiones!G$2:G$999)</f>
        <v>0</v>
      </c>
      <c r="E236" s="1"/>
      <c r="F236" s="1"/>
      <c r="G236" s="1"/>
      <c r="H236" s="1"/>
      <c r="I236" s="1"/>
      <c r="J236" s="1"/>
      <c r="K236" s="1"/>
      <c r="L236" s="1"/>
      <c r="M236" s="16"/>
      <c r="N236" s="16"/>
      <c r="O236" s="16"/>
      <c r="P236" s="16"/>
      <c r="Q236" s="17"/>
    </row>
    <row r="237" customFormat="false" ht="14.25" hidden="false" customHeight="false" outlineLevel="0" collapsed="false">
      <c r="A237" s="1" t="n">
        <v>134998</v>
      </c>
      <c r="B237" s="1" t="str">
        <f aca="false">LOOKUP($A237,peticiones!$C$2:$C$999,peticiones!E$2:E$999)</f>
        <v>Otras Peticiones ANS</v>
      </c>
      <c r="C237" s="1" t="n">
        <f aca="false">LOOKUP($A237,peticiones!$C$2:$C$999,peticiones!F$2:F$999)</f>
        <v>0</v>
      </c>
      <c r="D237" s="1" t="n">
        <f aca="false">LOOKUP($A237,peticiones!$C$2:$C$999,peticiones!G$2:G$999)</f>
        <v>0</v>
      </c>
      <c r="E237" s="1"/>
      <c r="F237" s="1"/>
      <c r="G237" s="1"/>
      <c r="H237" s="1"/>
      <c r="I237" s="1"/>
      <c r="J237" s="1"/>
      <c r="K237" s="1"/>
      <c r="L237" s="1"/>
      <c r="M237" s="16"/>
      <c r="N237" s="16"/>
      <c r="O237" s="16"/>
      <c r="P237" s="16"/>
      <c r="Q237" s="17"/>
    </row>
    <row r="238" customFormat="false" ht="14.25" hidden="false" customHeight="false" outlineLevel="0" collapsed="false">
      <c r="A238" s="1" t="n">
        <v>134999</v>
      </c>
      <c r="B238" s="1" t="str">
        <f aca="false">LOOKUP($A238,peticiones!$C$2:$C$999,peticiones!E$2:E$999)</f>
        <v>Otras Peticiones ANS</v>
      </c>
      <c r="C238" s="1" t="n">
        <f aca="false">LOOKUP($A238,peticiones!$C$2:$C$999,peticiones!F$2:F$999)</f>
        <v>0</v>
      </c>
      <c r="D238" s="1" t="n">
        <f aca="false">LOOKUP($A238,peticiones!$C$2:$C$999,peticiones!G$2:G$999)</f>
        <v>0</v>
      </c>
      <c r="E238" s="1"/>
      <c r="F238" s="1"/>
      <c r="G238" s="1"/>
      <c r="H238" s="1"/>
      <c r="I238" s="1"/>
      <c r="J238" s="1"/>
      <c r="K238" s="1"/>
      <c r="L238" s="1"/>
      <c r="M238" s="16"/>
      <c r="N238" s="16"/>
      <c r="O238" s="16"/>
      <c r="P238" s="16"/>
      <c r="Q238" s="17"/>
    </row>
    <row r="239" customFormat="false" ht="14.25" hidden="false" customHeight="false" outlineLevel="0" collapsed="false">
      <c r="A239" s="1" t="n">
        <v>135002</v>
      </c>
      <c r="B239" s="1" t="str">
        <f aca="false">LOOKUP($A239,peticiones!$C$2:$C$999,peticiones!E$2:E$999)</f>
        <v>Otras Peticiones ANS</v>
      </c>
      <c r="C239" s="1" t="n">
        <f aca="false">LOOKUP($A239,peticiones!$C$2:$C$999,peticiones!F$2:F$999)</f>
        <v>0</v>
      </c>
      <c r="D239" s="1" t="n">
        <f aca="false">LOOKUP($A239,peticiones!$C$2:$C$999,peticiones!G$2:G$999)</f>
        <v>0</v>
      </c>
      <c r="E239" s="1"/>
      <c r="F239" s="1"/>
      <c r="G239" s="1"/>
      <c r="H239" s="1"/>
      <c r="I239" s="1"/>
      <c r="J239" s="1"/>
      <c r="K239" s="1"/>
      <c r="L239" s="1"/>
      <c r="M239" s="16"/>
      <c r="N239" s="16"/>
      <c r="O239" s="16"/>
      <c r="P239" s="16"/>
      <c r="Q239" s="17"/>
    </row>
    <row r="240" customFormat="false" ht="14.25" hidden="false" customHeight="false" outlineLevel="0" collapsed="false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6"/>
      <c r="N240" s="16"/>
      <c r="O240" s="16"/>
      <c r="P240" s="16"/>
      <c r="Q240" s="17"/>
    </row>
    <row r="241" customFormat="false" ht="14.25" hidden="false" customHeight="false" outlineLevel="0" collapsed="false">
      <c r="A241" s="1" t="n">
        <v>135057</v>
      </c>
      <c r="B241" s="1" t="str">
        <f aca="false">LOOKUP($A241,peticiones!$C$2:$C$999,peticiones!E$2:E$999)</f>
        <v>Otras Peticiones ANS</v>
      </c>
      <c r="C241" s="1" t="n">
        <f aca="false">LOOKUP($A241,peticiones!$C$2:$C$999,peticiones!F$2:F$999)</f>
        <v>0</v>
      </c>
      <c r="D241" s="1" t="n">
        <f aca="false">LOOKUP($A241,peticiones!$C$2:$C$999,peticiones!G$2:G$999)</f>
        <v>0</v>
      </c>
      <c r="E241" s="1"/>
      <c r="F241" s="1"/>
      <c r="G241" s="1"/>
      <c r="H241" s="1"/>
      <c r="I241" s="1"/>
      <c r="J241" s="1"/>
      <c r="K241" s="1"/>
      <c r="L241" s="1"/>
      <c r="M241" s="16"/>
      <c r="N241" s="16"/>
      <c r="O241" s="16"/>
      <c r="P241" s="16"/>
      <c r="Q241" s="17"/>
    </row>
    <row r="242" customFormat="false" ht="14.25" hidden="false" customHeight="false" outlineLevel="0" collapsed="false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6"/>
      <c r="N242" s="16"/>
      <c r="O242" s="16"/>
      <c r="P242" s="16"/>
      <c r="Q242" s="17"/>
    </row>
    <row r="243" customFormat="false" ht="14.25" hidden="false" customHeight="false" outlineLevel="0" collapsed="false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6"/>
      <c r="N243" s="16"/>
      <c r="O243" s="16"/>
      <c r="P243" s="16"/>
      <c r="Q243" s="17"/>
    </row>
    <row r="244" customFormat="false" ht="14.25" hidden="false" customHeight="false" outlineLevel="0" collapsed="false">
      <c r="A244" s="1" t="n">
        <v>135174</v>
      </c>
      <c r="B244" s="1" t="str">
        <f aca="false">LOOKUP($A244,peticiones!$C$2:$C$999,peticiones!E$2:E$999)</f>
        <v>Otras Peticiones ANS</v>
      </c>
      <c r="C244" s="1" t="n">
        <f aca="false">LOOKUP($A244,peticiones!$C$2:$C$999,peticiones!F$2:F$999)</f>
        <v>0</v>
      </c>
      <c r="D244" s="1" t="n">
        <f aca="false">LOOKUP($A244,peticiones!$C$2:$C$999,peticiones!G$2:G$999)</f>
        <v>0</v>
      </c>
      <c r="E244" s="1"/>
      <c r="F244" s="1"/>
      <c r="G244" s="1"/>
      <c r="H244" s="1"/>
      <c r="I244" s="1"/>
      <c r="J244" s="1"/>
      <c r="K244" s="1"/>
      <c r="L244" s="1"/>
      <c r="M244" s="16"/>
      <c r="N244" s="16"/>
      <c r="O244" s="16"/>
      <c r="P244" s="16"/>
      <c r="Q244" s="17"/>
    </row>
    <row r="245" customFormat="false" ht="14.25" hidden="false" customHeight="false" outlineLevel="0" collapsed="false">
      <c r="A245" s="1" t="n">
        <v>135186</v>
      </c>
      <c r="B245" s="1" t="str">
        <f aca="false">LOOKUP($A245,peticiones!$C$2:$C$999,peticiones!E$2:E$999)</f>
        <v>Otras Peticiones ANS</v>
      </c>
      <c r="C245" s="1" t="n">
        <f aca="false">LOOKUP($A245,peticiones!$C$2:$C$999,peticiones!F$2:F$999)</f>
        <v>0</v>
      </c>
      <c r="D245" s="1" t="n">
        <f aca="false">LOOKUP($A245,peticiones!$C$2:$C$999,peticiones!G$2:G$999)</f>
        <v>0</v>
      </c>
      <c r="E245" s="1"/>
      <c r="F245" s="1"/>
      <c r="G245" s="1"/>
      <c r="H245" s="1"/>
      <c r="I245" s="1"/>
      <c r="J245" s="1"/>
      <c r="K245" s="1"/>
      <c r="L245" s="1"/>
      <c r="M245" s="16"/>
      <c r="N245" s="16"/>
      <c r="O245" s="16"/>
      <c r="P245" s="16"/>
      <c r="Q245" s="17"/>
    </row>
    <row r="246" customFormat="false" ht="14.25" hidden="false" customHeight="false" outlineLevel="0" collapsed="false">
      <c r="A246" s="1" t="n">
        <v>135212</v>
      </c>
      <c r="B246" s="1" t="str">
        <f aca="false">LOOKUP($A246,peticiones!$C$2:$C$999,peticiones!E$2:E$999)</f>
        <v>Otras Peticiones ANS</v>
      </c>
      <c r="C246" s="1" t="n">
        <f aca="false">LOOKUP($A246,peticiones!$C$2:$C$999,peticiones!F$2:F$999)</f>
        <v>0</v>
      </c>
      <c r="D246" s="1" t="n">
        <f aca="false">LOOKUP($A246,peticiones!$C$2:$C$999,peticiones!G$2:G$999)</f>
        <v>0</v>
      </c>
      <c r="E246" s="1"/>
      <c r="F246" s="1"/>
      <c r="G246" s="1"/>
      <c r="H246" s="1"/>
      <c r="I246" s="1"/>
      <c r="J246" s="1"/>
      <c r="K246" s="1"/>
      <c r="L246" s="1"/>
      <c r="M246" s="16"/>
      <c r="N246" s="16"/>
      <c r="O246" s="16"/>
      <c r="P246" s="16"/>
      <c r="Q246" s="17"/>
    </row>
    <row r="247" customFormat="false" ht="14.25" hidden="false" customHeight="false" outlineLevel="0" collapsed="false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6"/>
      <c r="N247" s="16"/>
      <c r="O247" s="16"/>
      <c r="P247" s="16"/>
      <c r="Q247" s="17"/>
    </row>
    <row r="248" customFormat="false" ht="14.25" hidden="false" customHeight="false" outlineLevel="0" collapsed="false">
      <c r="A248" s="1" t="n">
        <v>135314</v>
      </c>
      <c r="B248" s="1" t="str">
        <f aca="false">LOOKUP($A248,peticiones!$C$2:$C$999,peticiones!E$2:E$999)</f>
        <v>Otras Peticiones ANS</v>
      </c>
      <c r="C248" s="1" t="n">
        <f aca="false">LOOKUP($A248,peticiones!$C$2:$C$999,peticiones!F$2:F$999)</f>
        <v>0</v>
      </c>
      <c r="D248" s="1" t="n">
        <f aca="false">LOOKUP($A248,peticiones!$C$2:$C$999,peticiones!G$2:G$999)</f>
        <v>0</v>
      </c>
      <c r="E248" s="1"/>
      <c r="F248" s="1"/>
      <c r="G248" s="1"/>
      <c r="H248" s="1"/>
      <c r="I248" s="1"/>
      <c r="J248" s="1"/>
      <c r="K248" s="1"/>
      <c r="L248" s="1"/>
      <c r="M248" s="16"/>
      <c r="N248" s="16"/>
      <c r="O248" s="16"/>
      <c r="P248" s="16"/>
      <c r="Q248" s="17"/>
    </row>
    <row r="249" customFormat="false" ht="14.25" hidden="false" customHeight="false" outlineLevel="0" collapsed="false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6"/>
      <c r="N249" s="16"/>
      <c r="O249" s="16"/>
      <c r="P249" s="16"/>
      <c r="Q249" s="17"/>
    </row>
    <row r="250" customFormat="false" ht="14.25" hidden="false" customHeight="false" outlineLevel="0" collapsed="false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6"/>
      <c r="N250" s="16"/>
      <c r="O250" s="16"/>
      <c r="P250" s="16"/>
      <c r="Q250" s="17"/>
    </row>
    <row r="251" customFormat="false" ht="14.25" hidden="false" customHeight="false" outlineLevel="0" collapsed="false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6"/>
      <c r="N251" s="16"/>
      <c r="O251" s="16"/>
      <c r="P251" s="16"/>
      <c r="Q251" s="17"/>
    </row>
    <row r="252" customFormat="false" ht="14.25" hidden="false" customHeight="false" outlineLevel="0" collapsed="false">
      <c r="A252" s="1" t="n">
        <v>135610</v>
      </c>
      <c r="B252" s="1" t="str">
        <f aca="false">LOOKUP($A252,peticiones!$C$2:$C$999,peticiones!E$2:E$999)</f>
        <v>Otras Peticiones ANS</v>
      </c>
      <c r="C252" s="1" t="n">
        <f aca="false">LOOKUP($A252,peticiones!$C$2:$C$999,peticiones!F$2:F$999)</f>
        <v>0</v>
      </c>
      <c r="D252" s="1" t="n">
        <f aca="false">LOOKUP($A252,peticiones!$C$2:$C$999,peticiones!G$2:G$999)</f>
        <v>0</v>
      </c>
      <c r="E252" s="1"/>
      <c r="F252" s="1"/>
      <c r="G252" s="1"/>
      <c r="H252" s="1"/>
      <c r="I252" s="1"/>
      <c r="J252" s="1"/>
      <c r="K252" s="1"/>
      <c r="L252" s="1"/>
      <c r="M252" s="16"/>
      <c r="N252" s="16"/>
      <c r="O252" s="16"/>
      <c r="P252" s="16"/>
      <c r="Q252" s="17"/>
    </row>
    <row r="253" customFormat="false" ht="14.25" hidden="false" customHeight="false" outlineLevel="0" collapsed="false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6"/>
      <c r="N253" s="16"/>
      <c r="O253" s="16"/>
      <c r="P253" s="16"/>
      <c r="Q253" s="17"/>
    </row>
    <row r="254" customFormat="false" ht="14.25" hidden="false" customHeight="false" outlineLevel="0" collapsed="false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6"/>
      <c r="N254" s="16"/>
      <c r="O254" s="16"/>
      <c r="P254" s="16"/>
      <c r="Q254" s="17"/>
    </row>
    <row r="255" customFormat="false" ht="14.25" hidden="false" customHeight="false" outlineLevel="0" collapsed="false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6"/>
      <c r="N255" s="16"/>
      <c r="O255" s="16"/>
      <c r="P255" s="16"/>
      <c r="Q255" s="17"/>
    </row>
    <row r="256" customFormat="false" ht="14.25" hidden="false" customHeight="false" outlineLevel="0" collapsed="false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6"/>
      <c r="N256" s="16"/>
      <c r="O256" s="16"/>
      <c r="P256" s="16"/>
      <c r="Q256" s="17"/>
    </row>
    <row r="257" customFormat="false" ht="14.25" hidden="false" customHeight="false" outlineLevel="0" collapsed="false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6"/>
      <c r="N257" s="16"/>
      <c r="O257" s="16"/>
      <c r="P257" s="16"/>
      <c r="Q257" s="17"/>
    </row>
    <row r="258" customFormat="false" ht="14.25" hidden="false" customHeight="false" outlineLevel="0" collapsed="false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6"/>
      <c r="N258" s="16"/>
      <c r="O258" s="16"/>
      <c r="P258" s="16"/>
      <c r="Q258" s="17"/>
    </row>
    <row r="259" customFormat="false" ht="14.25" hidden="false" customHeight="false" outlineLevel="0" collapsed="false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6"/>
      <c r="N259" s="16"/>
      <c r="O259" s="16"/>
      <c r="P259" s="16"/>
      <c r="Q259" s="17"/>
    </row>
    <row r="260" customFormat="false" ht="14.25" hidden="false" customHeight="false" outlineLevel="0" collapsed="false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6"/>
      <c r="N260" s="16"/>
      <c r="O260" s="16"/>
      <c r="P260" s="16"/>
      <c r="Q260" s="17"/>
    </row>
    <row r="261" customFormat="false" ht="14.25" hidden="false" customHeight="false" outlineLevel="0" collapsed="false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6"/>
      <c r="N261" s="16"/>
      <c r="O261" s="16"/>
      <c r="P261" s="16"/>
      <c r="Q261" s="17"/>
    </row>
    <row r="262" customFormat="false" ht="14.25" hidden="false" customHeight="false" outlineLevel="0" collapsed="false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6"/>
      <c r="N262" s="16"/>
      <c r="O262" s="16"/>
      <c r="P262" s="16"/>
      <c r="Q262" s="17"/>
    </row>
    <row r="263" customFormat="false" ht="14.25" hidden="false" customHeight="false" outlineLevel="0" collapsed="false">
      <c r="A263" s="1" t="n">
        <v>136057</v>
      </c>
      <c r="B263" s="1" t="str">
        <f aca="false">LOOKUP($A263,peticiones!$C$2:$C$999,peticiones!E$2:E$999)</f>
        <v>Otras Peticiones ANS</v>
      </c>
      <c r="C263" s="1" t="n">
        <f aca="false">LOOKUP($A263,peticiones!$C$2:$C$999,peticiones!F$2:F$999)</f>
        <v>0</v>
      </c>
      <c r="D263" s="1" t="n">
        <f aca="false">LOOKUP($A263,peticiones!$C$2:$C$999,peticiones!G$2:G$999)</f>
        <v>0</v>
      </c>
      <c r="E263" s="1"/>
      <c r="F263" s="1"/>
      <c r="G263" s="1"/>
      <c r="H263" s="1"/>
      <c r="I263" s="1"/>
      <c r="J263" s="1"/>
      <c r="K263" s="1"/>
      <c r="L263" s="1"/>
      <c r="M263" s="16"/>
      <c r="N263" s="16"/>
      <c r="O263" s="16"/>
      <c r="P263" s="16"/>
      <c r="Q263" s="17"/>
    </row>
    <row r="264" customFormat="false" ht="14.25" hidden="false" customHeight="false" outlineLevel="0" collapsed="false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6"/>
      <c r="N264" s="16"/>
      <c r="O264" s="16"/>
      <c r="P264" s="16"/>
      <c r="Q264" s="17"/>
    </row>
    <row r="265" customFormat="false" ht="14.25" hidden="false" customHeight="false" outlineLevel="0" collapsed="false">
      <c r="A265" s="1" t="n">
        <v>136081</v>
      </c>
      <c r="B265" s="1" t="str">
        <f aca="false">LOOKUP($A265,peticiones!$C$2:$C$999,peticiones!E$2:E$999)</f>
        <v>Otras Peticiones ANS</v>
      </c>
      <c r="C265" s="1" t="n">
        <f aca="false">LOOKUP($A265,peticiones!$C$2:$C$999,peticiones!F$2:F$999)</f>
        <v>0</v>
      </c>
      <c r="D265" s="1" t="n">
        <f aca="false">LOOKUP($A265,peticiones!$C$2:$C$999,peticiones!G$2:G$999)</f>
        <v>0</v>
      </c>
      <c r="E265" s="1"/>
      <c r="F265" s="1"/>
      <c r="G265" s="1"/>
      <c r="H265" s="1"/>
      <c r="I265" s="1"/>
      <c r="J265" s="1"/>
      <c r="K265" s="1"/>
      <c r="L265" s="1"/>
      <c r="M265" s="16"/>
      <c r="N265" s="16"/>
      <c r="O265" s="16"/>
      <c r="P265" s="16"/>
      <c r="Q265" s="17"/>
    </row>
    <row r="266" customFormat="false" ht="14.25" hidden="false" customHeight="false" outlineLevel="0" collapsed="false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6"/>
      <c r="N266" s="16"/>
      <c r="O266" s="16"/>
      <c r="P266" s="16"/>
      <c r="Q266" s="17"/>
    </row>
    <row r="267" customFormat="false" ht="14.25" hidden="false" customHeight="false" outlineLevel="0" collapsed="false">
      <c r="A267" s="1" t="n">
        <v>136221</v>
      </c>
      <c r="B267" s="1" t="str">
        <f aca="false">LOOKUP($A267,peticiones!$C$2:$C$999,peticiones!E$2:E$999)</f>
        <v>Otras Peticiones ANS</v>
      </c>
      <c r="C267" s="1" t="n">
        <f aca="false">LOOKUP($A267,peticiones!$C$2:$C$999,peticiones!F$2:F$999)</f>
        <v>0</v>
      </c>
      <c r="D267" s="1" t="n">
        <f aca="false">LOOKUP($A267,peticiones!$C$2:$C$999,peticiones!G$2:G$999)</f>
        <v>0</v>
      </c>
      <c r="E267" s="1"/>
      <c r="F267" s="1"/>
      <c r="G267" s="1"/>
      <c r="H267" s="1"/>
      <c r="I267" s="1"/>
      <c r="J267" s="1"/>
      <c r="K267" s="1"/>
      <c r="L267" s="1"/>
      <c r="M267" s="16"/>
      <c r="N267" s="16"/>
      <c r="O267" s="16"/>
      <c r="P267" s="16"/>
      <c r="Q267" s="17"/>
    </row>
    <row r="268" customFormat="false" ht="14.25" hidden="false" customHeight="false" outlineLevel="0" collapsed="false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6"/>
      <c r="N268" s="16"/>
      <c r="O268" s="16"/>
      <c r="P268" s="16"/>
      <c r="Q268" s="17"/>
    </row>
    <row r="269" customFormat="false" ht="14.25" hidden="false" customHeight="false" outlineLevel="0" collapsed="false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6"/>
      <c r="N269" s="16"/>
      <c r="O269" s="16"/>
      <c r="P269" s="16"/>
      <c r="Q269" s="17"/>
    </row>
    <row r="270" customFormat="false" ht="14.25" hidden="false" customHeight="false" outlineLevel="0" collapsed="false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6"/>
      <c r="N270" s="16"/>
      <c r="O270" s="16"/>
      <c r="P270" s="16"/>
      <c r="Q270" s="17"/>
    </row>
    <row r="271" customFormat="false" ht="14.25" hidden="false" customHeight="false" outlineLevel="0" collapsed="false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6"/>
      <c r="N271" s="16"/>
      <c r="O271" s="16"/>
      <c r="P271" s="16"/>
      <c r="Q271" s="17"/>
    </row>
    <row r="272" customFormat="false" ht="14.25" hidden="false" customHeight="false" outlineLevel="0" collapsed="false">
      <c r="A272" s="1" t="n">
        <v>136253</v>
      </c>
      <c r="B272" s="1" t="str">
        <f aca="false">LOOKUP($A272,peticiones!$C$2:$C$999,peticiones!E$2:E$999)</f>
        <v>Otras Peticiones ANS</v>
      </c>
      <c r="C272" s="1" t="n">
        <f aca="false">LOOKUP($A272,peticiones!$C$2:$C$999,peticiones!F$2:F$999)</f>
        <v>0</v>
      </c>
      <c r="D272" s="1" t="n">
        <f aca="false">LOOKUP($A272,peticiones!$C$2:$C$999,peticiones!G$2:G$999)</f>
        <v>0</v>
      </c>
      <c r="E272" s="1"/>
      <c r="F272" s="1"/>
      <c r="G272" s="1"/>
      <c r="H272" s="1"/>
      <c r="I272" s="1"/>
      <c r="J272" s="1"/>
      <c r="K272" s="1"/>
      <c r="L272" s="1"/>
      <c r="M272" s="16"/>
      <c r="N272" s="16"/>
      <c r="O272" s="16"/>
      <c r="P272" s="16"/>
      <c r="Q272" s="17"/>
    </row>
    <row r="273" customFormat="false" ht="14.25" hidden="false" customHeight="false" outlineLevel="0" collapsed="false">
      <c r="A273" s="1" t="n">
        <v>136254</v>
      </c>
      <c r="B273" s="1" t="str">
        <f aca="false">LOOKUP($A273,peticiones!$C$2:$C$999,peticiones!E$2:E$999)</f>
        <v>Otras Peticiones ANS</v>
      </c>
      <c r="C273" s="1" t="n">
        <f aca="false">LOOKUP($A273,peticiones!$C$2:$C$999,peticiones!F$2:F$999)</f>
        <v>0</v>
      </c>
      <c r="D273" s="1" t="n">
        <f aca="false">LOOKUP($A273,peticiones!$C$2:$C$999,peticiones!G$2:G$999)</f>
        <v>0</v>
      </c>
      <c r="E273" s="1"/>
      <c r="F273" s="1"/>
      <c r="G273" s="1"/>
      <c r="H273" s="1"/>
      <c r="I273" s="1"/>
      <c r="J273" s="1"/>
      <c r="K273" s="1"/>
      <c r="L273" s="1"/>
      <c r="M273" s="16"/>
      <c r="N273" s="16"/>
      <c r="O273" s="16"/>
      <c r="P273" s="16"/>
      <c r="Q273" s="17"/>
    </row>
    <row r="274" customFormat="false" ht="14.25" hidden="false" customHeight="false" outlineLevel="0" collapsed="false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6"/>
      <c r="N274" s="16"/>
      <c r="O274" s="16"/>
      <c r="P274" s="16"/>
      <c r="Q274" s="17"/>
    </row>
    <row r="275" customFormat="false" ht="14.25" hidden="false" customHeight="false" outlineLevel="0" collapsed="false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6"/>
      <c r="N275" s="16"/>
      <c r="O275" s="16"/>
      <c r="P275" s="16"/>
      <c r="Q275" s="17"/>
    </row>
    <row r="276" customFormat="false" ht="14.25" hidden="false" customHeight="false" outlineLevel="0" collapsed="false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6"/>
      <c r="N276" s="16"/>
      <c r="O276" s="16"/>
      <c r="P276" s="16"/>
      <c r="Q276" s="17"/>
    </row>
    <row r="277" customFormat="false" ht="14.25" hidden="false" customHeight="false" outlineLevel="0" collapsed="false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6"/>
      <c r="N277" s="16"/>
      <c r="O277" s="16"/>
      <c r="P277" s="16"/>
      <c r="Q277" s="17"/>
    </row>
    <row r="278" customFormat="false" ht="14.25" hidden="false" customHeight="false" outlineLevel="0" collapsed="false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6"/>
      <c r="N278" s="16"/>
      <c r="O278" s="16"/>
      <c r="P278" s="16"/>
      <c r="Q278" s="17"/>
    </row>
    <row r="279" customFormat="false" ht="14.25" hidden="false" customHeight="false" outlineLevel="0" collapsed="false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6"/>
      <c r="N279" s="16"/>
      <c r="O279" s="16"/>
      <c r="P279" s="16"/>
      <c r="Q279" s="17"/>
    </row>
    <row r="280" customFormat="false" ht="14.25" hidden="false" customHeight="false" outlineLevel="0" collapsed="false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6"/>
      <c r="N280" s="16"/>
      <c r="O280" s="16"/>
      <c r="P280" s="16"/>
      <c r="Q280" s="17"/>
    </row>
    <row r="281" customFormat="false" ht="14.25" hidden="false" customHeight="false" outlineLevel="0" collapsed="false">
      <c r="A281" s="1" t="n">
        <v>136309</v>
      </c>
      <c r="B281" s="1" t="str">
        <f aca="false">LOOKUP($A281,peticiones!$C$2:$C$999,peticiones!E$2:E$999)</f>
        <v>Otras Peticiones ANS</v>
      </c>
      <c r="C281" s="1" t="n">
        <f aca="false">LOOKUP($A281,peticiones!$C$2:$C$999,peticiones!F$2:F$999)</f>
        <v>0</v>
      </c>
      <c r="D281" s="1" t="n">
        <f aca="false">LOOKUP($A281,peticiones!$C$2:$C$999,peticiones!G$2:G$999)</f>
        <v>0</v>
      </c>
      <c r="E281" s="1"/>
      <c r="F281" s="1"/>
      <c r="G281" s="1"/>
      <c r="H281" s="1"/>
      <c r="I281" s="1"/>
      <c r="J281" s="1"/>
      <c r="K281" s="1"/>
      <c r="L281" s="1"/>
      <c r="M281" s="16"/>
      <c r="N281" s="16"/>
      <c r="O281" s="16"/>
      <c r="P281" s="16"/>
      <c r="Q281" s="17"/>
    </row>
    <row r="282" customFormat="false" ht="14.25" hidden="false" customHeight="false" outlineLevel="0" collapsed="false">
      <c r="A282" s="1" t="n">
        <v>136334</v>
      </c>
      <c r="B282" s="1" t="str">
        <f aca="false">LOOKUP($A282,peticiones!$C$2:$C$999,peticiones!E$2:E$999)</f>
        <v>Otras Peticiones ANS</v>
      </c>
      <c r="C282" s="1" t="n">
        <f aca="false">LOOKUP($A282,peticiones!$C$2:$C$999,peticiones!F$2:F$999)</f>
        <v>0</v>
      </c>
      <c r="D282" s="1" t="n">
        <f aca="false">LOOKUP($A282,peticiones!$C$2:$C$999,peticiones!G$2:G$999)</f>
        <v>0</v>
      </c>
      <c r="E282" s="1"/>
      <c r="F282" s="1"/>
      <c r="G282" s="1"/>
      <c r="H282" s="1"/>
      <c r="I282" s="1"/>
      <c r="J282" s="1"/>
      <c r="K282" s="1"/>
      <c r="L282" s="1"/>
      <c r="M282" s="16"/>
      <c r="N282" s="16"/>
      <c r="O282" s="16"/>
      <c r="P282" s="16"/>
      <c r="Q282" s="17"/>
    </row>
    <row r="283" customFormat="false" ht="14.25" hidden="false" customHeight="false" outlineLevel="0" collapsed="false">
      <c r="A283" s="1" t="n">
        <v>136354</v>
      </c>
      <c r="B283" s="1" t="str">
        <f aca="false">LOOKUP($A283,peticiones!$C$2:$C$999,peticiones!E$2:E$999)</f>
        <v>Otras Peticiones ANS</v>
      </c>
      <c r="C283" s="1" t="n">
        <f aca="false">LOOKUP($A283,peticiones!$C$2:$C$999,peticiones!F$2:F$999)</f>
        <v>0</v>
      </c>
      <c r="D283" s="1" t="n">
        <f aca="false">LOOKUP($A283,peticiones!$C$2:$C$999,peticiones!G$2:G$999)</f>
        <v>0</v>
      </c>
      <c r="E283" s="1"/>
      <c r="F283" s="1"/>
      <c r="G283" s="1"/>
      <c r="H283" s="1"/>
      <c r="I283" s="1"/>
      <c r="J283" s="1"/>
      <c r="K283" s="1"/>
      <c r="L283" s="1"/>
      <c r="M283" s="16"/>
      <c r="N283" s="16"/>
      <c r="O283" s="16"/>
      <c r="P283" s="16"/>
      <c r="Q283" s="17"/>
    </row>
    <row r="284" customFormat="false" ht="14.25" hidden="false" customHeight="false" outlineLevel="0" collapsed="false">
      <c r="A284" s="1" t="n">
        <v>136356</v>
      </c>
      <c r="B284" s="1" t="str">
        <f aca="false">LOOKUP($A284,peticiones!$C$2:$C$999,peticiones!E$2:E$999)</f>
        <v>Otras Peticiones ANS</v>
      </c>
      <c r="C284" s="1" t="n">
        <f aca="false">LOOKUP($A284,peticiones!$C$2:$C$999,peticiones!F$2:F$999)</f>
        <v>0</v>
      </c>
      <c r="D284" s="1" t="n">
        <f aca="false">LOOKUP($A284,peticiones!$C$2:$C$999,peticiones!G$2:G$999)</f>
        <v>0</v>
      </c>
      <c r="E284" s="1"/>
      <c r="F284" s="1"/>
      <c r="G284" s="1"/>
      <c r="H284" s="1"/>
      <c r="I284" s="1"/>
      <c r="J284" s="1"/>
      <c r="K284" s="1"/>
      <c r="L284" s="1"/>
      <c r="M284" s="16"/>
      <c r="N284" s="16"/>
      <c r="O284" s="16"/>
      <c r="P284" s="16"/>
      <c r="Q284" s="17"/>
    </row>
    <row r="285" customFormat="false" ht="14.25" hidden="false" customHeight="false" outlineLevel="0" collapsed="false">
      <c r="A285" s="1" t="n">
        <v>136378</v>
      </c>
      <c r="B285" s="1" t="str">
        <f aca="false">LOOKUP($A285,peticiones!$C$2:$C$999,peticiones!E$2:E$999)</f>
        <v>Otras Peticiones ANS</v>
      </c>
      <c r="C285" s="1" t="n">
        <f aca="false">LOOKUP($A285,peticiones!$C$2:$C$999,peticiones!F$2:F$999)</f>
        <v>0</v>
      </c>
      <c r="D285" s="1" t="n">
        <f aca="false">LOOKUP($A285,peticiones!$C$2:$C$999,peticiones!G$2:G$999)</f>
        <v>0</v>
      </c>
      <c r="E285" s="1"/>
      <c r="F285" s="1"/>
      <c r="G285" s="1"/>
      <c r="H285" s="1"/>
      <c r="I285" s="1"/>
      <c r="J285" s="1"/>
      <c r="K285" s="1"/>
      <c r="L285" s="1"/>
      <c r="M285" s="16"/>
      <c r="N285" s="16"/>
      <c r="O285" s="16"/>
      <c r="P285" s="16"/>
      <c r="Q285" s="17"/>
    </row>
    <row r="286" customFormat="false" ht="14.25" hidden="false" customHeight="false" outlineLevel="0" collapsed="false">
      <c r="A286" s="1" t="n">
        <v>136383</v>
      </c>
      <c r="B286" s="1" t="str">
        <f aca="false">LOOKUP($A286,peticiones!$C$2:$C$999,peticiones!E$2:E$999)</f>
        <v>Otras Peticiones ANS</v>
      </c>
      <c r="C286" s="1" t="n">
        <f aca="false">LOOKUP($A286,peticiones!$C$2:$C$999,peticiones!F$2:F$999)</f>
        <v>0</v>
      </c>
      <c r="D286" s="1" t="n">
        <f aca="false">LOOKUP($A286,peticiones!$C$2:$C$999,peticiones!G$2:G$999)</f>
        <v>0</v>
      </c>
      <c r="E286" s="1"/>
      <c r="F286" s="1"/>
      <c r="G286" s="1"/>
      <c r="H286" s="1"/>
      <c r="I286" s="1"/>
      <c r="J286" s="1"/>
      <c r="K286" s="1"/>
      <c r="L286" s="1"/>
      <c r="M286" s="16"/>
      <c r="N286" s="16"/>
      <c r="O286" s="16"/>
      <c r="P286" s="16"/>
      <c r="Q286" s="17"/>
    </row>
    <row r="287" customFormat="false" ht="14.25" hidden="false" customHeight="false" outlineLevel="0" collapsed="false">
      <c r="A287" s="1" t="n">
        <v>136385</v>
      </c>
      <c r="B287" s="1" t="str">
        <f aca="false">LOOKUP($A287,peticiones!$C$2:$C$999,peticiones!E$2:E$999)</f>
        <v>Otras Peticiones ANS</v>
      </c>
      <c r="C287" s="1" t="n">
        <f aca="false">LOOKUP($A287,peticiones!$C$2:$C$999,peticiones!F$2:F$999)</f>
        <v>0</v>
      </c>
      <c r="D287" s="1" t="n">
        <f aca="false">LOOKUP($A287,peticiones!$C$2:$C$999,peticiones!G$2:G$999)</f>
        <v>0</v>
      </c>
      <c r="E287" s="1"/>
      <c r="F287" s="1"/>
      <c r="G287" s="1"/>
      <c r="H287" s="1"/>
      <c r="I287" s="1"/>
      <c r="J287" s="1"/>
      <c r="K287" s="1"/>
      <c r="L287" s="1"/>
      <c r="M287" s="16"/>
      <c r="N287" s="16"/>
      <c r="O287" s="16"/>
      <c r="P287" s="16"/>
      <c r="Q287" s="17"/>
    </row>
    <row r="288" customFormat="false" ht="14.25" hidden="false" customHeight="false" outlineLevel="0" collapsed="false">
      <c r="A288" s="1" t="n">
        <v>136386</v>
      </c>
      <c r="B288" s="1" t="str">
        <f aca="false">LOOKUP($A288,peticiones!$C$2:$C$999,peticiones!E$2:E$999)</f>
        <v>Otras Peticiones ANS</v>
      </c>
      <c r="C288" s="1" t="n">
        <f aca="false">LOOKUP($A288,peticiones!$C$2:$C$999,peticiones!F$2:F$999)</f>
        <v>0</v>
      </c>
      <c r="D288" s="1" t="n">
        <f aca="false">LOOKUP($A288,peticiones!$C$2:$C$999,peticiones!G$2:G$999)</f>
        <v>0</v>
      </c>
      <c r="E288" s="1"/>
      <c r="F288" s="1"/>
      <c r="G288" s="1"/>
      <c r="H288" s="1"/>
      <c r="I288" s="1"/>
      <c r="J288" s="1"/>
      <c r="K288" s="1"/>
      <c r="L288" s="1"/>
      <c r="M288" s="16"/>
      <c r="N288" s="16"/>
      <c r="O288" s="16"/>
      <c r="P288" s="16"/>
      <c r="Q288" s="17"/>
    </row>
    <row r="289" customFormat="false" ht="14.25" hidden="false" customHeight="false" outlineLevel="0" collapsed="false">
      <c r="A289" s="1" t="n">
        <v>136411</v>
      </c>
      <c r="B289" s="1" t="str">
        <f aca="false">LOOKUP($A289,peticiones!$C$2:$C$999,peticiones!E$2:E$999)</f>
        <v>Otras Peticiones ANS</v>
      </c>
      <c r="C289" s="1" t="n">
        <f aca="false">LOOKUP($A289,peticiones!$C$2:$C$999,peticiones!F$2:F$999)</f>
        <v>0</v>
      </c>
      <c r="D289" s="1" t="n">
        <f aca="false">LOOKUP($A289,peticiones!$C$2:$C$999,peticiones!G$2:G$999)</f>
        <v>0</v>
      </c>
      <c r="E289" s="1"/>
      <c r="F289" s="1"/>
      <c r="G289" s="1"/>
      <c r="H289" s="1"/>
      <c r="I289" s="1"/>
      <c r="J289" s="1"/>
      <c r="K289" s="1"/>
      <c r="L289" s="1"/>
      <c r="M289" s="16"/>
      <c r="N289" s="16"/>
      <c r="O289" s="16"/>
      <c r="P289" s="16"/>
      <c r="Q289" s="17"/>
    </row>
    <row r="290" customFormat="false" ht="14.25" hidden="false" customHeight="false" outlineLevel="0" collapsed="false">
      <c r="A290" s="1" t="n">
        <v>136412</v>
      </c>
      <c r="B290" s="1" t="str">
        <f aca="false">LOOKUP($A290,peticiones!$C$2:$C$999,peticiones!E$2:E$999)</f>
        <v>Otras Peticiones ANS</v>
      </c>
      <c r="C290" s="1" t="n">
        <f aca="false">LOOKUP($A290,peticiones!$C$2:$C$999,peticiones!F$2:F$999)</f>
        <v>0</v>
      </c>
      <c r="D290" s="1" t="n">
        <f aca="false">LOOKUP($A290,peticiones!$C$2:$C$999,peticiones!G$2:G$999)</f>
        <v>0</v>
      </c>
      <c r="E290" s="1"/>
      <c r="F290" s="1"/>
      <c r="G290" s="1"/>
      <c r="H290" s="1"/>
      <c r="I290" s="1"/>
      <c r="J290" s="1"/>
      <c r="K290" s="1"/>
      <c r="L290" s="1"/>
      <c r="M290" s="16"/>
      <c r="N290" s="16"/>
      <c r="O290" s="16"/>
      <c r="P290" s="16"/>
      <c r="Q290" s="17"/>
    </row>
    <row r="291" customFormat="false" ht="14.25" hidden="false" customHeight="false" outlineLevel="0" collapsed="false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6"/>
      <c r="N291" s="16"/>
      <c r="O291" s="16"/>
      <c r="P291" s="16"/>
      <c r="Q291" s="17"/>
    </row>
    <row r="292" customFormat="false" ht="14.25" hidden="false" customHeight="false" outlineLevel="0" collapsed="false">
      <c r="A292" s="1" t="n">
        <v>136513</v>
      </c>
      <c r="B292" s="1" t="str">
        <f aca="false">LOOKUP($A292,peticiones!$C$2:$C$999,peticiones!E$2:E$999)</f>
        <v>Otras Peticiones ANS</v>
      </c>
      <c r="C292" s="1" t="n">
        <f aca="false">LOOKUP($A292,peticiones!$C$2:$C$999,peticiones!F$2:F$999)</f>
        <v>0</v>
      </c>
      <c r="D292" s="1" t="n">
        <f aca="false">LOOKUP($A292,peticiones!$C$2:$C$999,peticiones!G$2:G$999)</f>
        <v>0</v>
      </c>
      <c r="E292" s="1"/>
      <c r="F292" s="1"/>
      <c r="G292" s="1"/>
      <c r="H292" s="1"/>
      <c r="I292" s="1"/>
      <c r="J292" s="1"/>
      <c r="K292" s="1"/>
      <c r="L292" s="1"/>
      <c r="M292" s="16"/>
      <c r="N292" s="16"/>
      <c r="O292" s="16"/>
      <c r="P292" s="16"/>
      <c r="Q292" s="17"/>
    </row>
    <row r="293" customFormat="false" ht="14.25" hidden="false" customHeight="false" outlineLevel="0" collapsed="false">
      <c r="A293" s="1" t="n">
        <v>136525</v>
      </c>
      <c r="B293" s="1" t="str">
        <f aca="false">LOOKUP($A293,peticiones!$C$2:$C$999,peticiones!E$2:E$999)</f>
        <v>Otras Peticiones ANS</v>
      </c>
      <c r="C293" s="1" t="n">
        <f aca="false">LOOKUP($A293,peticiones!$C$2:$C$999,peticiones!F$2:F$999)</f>
        <v>0</v>
      </c>
      <c r="D293" s="1" t="n">
        <f aca="false">LOOKUP($A293,peticiones!$C$2:$C$999,peticiones!G$2:G$999)</f>
        <v>0</v>
      </c>
      <c r="E293" s="1"/>
      <c r="F293" s="1"/>
      <c r="G293" s="1"/>
      <c r="H293" s="1"/>
      <c r="I293" s="1"/>
      <c r="J293" s="1"/>
      <c r="K293" s="1"/>
      <c r="L293" s="1"/>
      <c r="M293" s="16"/>
      <c r="N293" s="16"/>
      <c r="O293" s="16"/>
      <c r="P293" s="16"/>
      <c r="Q293" s="17"/>
    </row>
    <row r="294" customFormat="false" ht="14.25" hidden="false" customHeight="false" outlineLevel="0" collapsed="false">
      <c r="A294" s="1" t="n">
        <v>136573</v>
      </c>
      <c r="B294" s="1" t="str">
        <f aca="false">LOOKUP($A294,peticiones!$C$2:$C$999,peticiones!E$2:E$999)</f>
        <v>Otras Peticiones ANS</v>
      </c>
      <c r="C294" s="1" t="n">
        <f aca="false">LOOKUP($A294,peticiones!$C$2:$C$999,peticiones!F$2:F$999)</f>
        <v>0</v>
      </c>
      <c r="D294" s="1" t="n">
        <f aca="false">LOOKUP($A294,peticiones!$C$2:$C$999,peticiones!G$2:G$999)</f>
        <v>0</v>
      </c>
      <c r="E294" s="1"/>
      <c r="F294" s="1"/>
      <c r="G294" s="1"/>
      <c r="H294" s="1"/>
      <c r="I294" s="1"/>
      <c r="J294" s="1"/>
      <c r="K294" s="1"/>
      <c r="L294" s="1"/>
      <c r="M294" s="16"/>
      <c r="N294" s="16"/>
      <c r="O294" s="16"/>
      <c r="P294" s="16"/>
      <c r="Q294" s="17"/>
    </row>
    <row r="295" customFormat="false" ht="14.25" hidden="false" customHeight="false" outlineLevel="0" collapsed="false">
      <c r="A295" s="1" t="n">
        <v>136609</v>
      </c>
      <c r="B295" s="1" t="str">
        <f aca="false">LOOKUP($A295,peticiones!$C$2:$C$999,peticiones!E$2:E$999)</f>
        <v>Otras Peticiones ANS</v>
      </c>
      <c r="C295" s="1" t="n">
        <f aca="false">LOOKUP($A295,peticiones!$C$2:$C$999,peticiones!F$2:F$999)</f>
        <v>0</v>
      </c>
      <c r="D295" s="1" t="n">
        <f aca="false">LOOKUP($A295,peticiones!$C$2:$C$999,peticiones!G$2:G$999)</f>
        <v>0</v>
      </c>
      <c r="E295" s="1"/>
      <c r="F295" s="1"/>
      <c r="G295" s="1"/>
      <c r="H295" s="1"/>
      <c r="I295" s="1"/>
      <c r="J295" s="1"/>
      <c r="K295" s="1"/>
      <c r="L295" s="1"/>
      <c r="M295" s="16"/>
      <c r="N295" s="16"/>
      <c r="O295" s="16"/>
      <c r="P295" s="16"/>
      <c r="Q295" s="17"/>
    </row>
    <row r="296" customFormat="false" ht="14.25" hidden="false" customHeight="false" outlineLevel="0" collapsed="false">
      <c r="A296" s="1" t="n">
        <v>136663</v>
      </c>
      <c r="B296" s="1" t="str">
        <f aca="false">LOOKUP($A296,peticiones!$C$2:$C$999,peticiones!E$2:E$999)</f>
        <v>Otras Peticiones ANS</v>
      </c>
      <c r="C296" s="1" t="n">
        <f aca="false">LOOKUP($A296,peticiones!$C$2:$C$999,peticiones!F$2:F$999)</f>
        <v>0</v>
      </c>
      <c r="D296" s="1" t="n">
        <f aca="false">LOOKUP($A296,peticiones!$C$2:$C$999,peticiones!G$2:G$999)</f>
        <v>0</v>
      </c>
      <c r="E296" s="1"/>
      <c r="F296" s="1"/>
      <c r="G296" s="1"/>
      <c r="H296" s="1"/>
      <c r="I296" s="1"/>
      <c r="J296" s="1"/>
      <c r="K296" s="1"/>
      <c r="L296" s="1"/>
      <c r="M296" s="16"/>
      <c r="N296" s="16"/>
      <c r="O296" s="16"/>
      <c r="P296" s="16"/>
      <c r="Q296" s="17"/>
    </row>
    <row r="297" customFormat="false" ht="14.25" hidden="false" customHeight="false" outlineLevel="0" collapsed="false">
      <c r="A297" s="1" t="n">
        <v>136668</v>
      </c>
      <c r="B297" s="1" t="str">
        <f aca="false">LOOKUP($A297,peticiones!$C$2:$C$999,peticiones!E$2:E$999)</f>
        <v>Otras Peticiones ANS</v>
      </c>
      <c r="C297" s="1" t="n">
        <f aca="false">LOOKUP($A297,peticiones!$C$2:$C$999,peticiones!F$2:F$999)</f>
        <v>0</v>
      </c>
      <c r="D297" s="1" t="n">
        <f aca="false">LOOKUP($A297,peticiones!$C$2:$C$999,peticiones!G$2:G$999)</f>
        <v>0</v>
      </c>
      <c r="E297" s="1"/>
      <c r="F297" s="1"/>
      <c r="G297" s="1"/>
      <c r="H297" s="1"/>
      <c r="I297" s="1"/>
      <c r="J297" s="1"/>
      <c r="K297" s="1"/>
      <c r="L297" s="1"/>
      <c r="M297" s="16"/>
      <c r="N297" s="16"/>
      <c r="O297" s="16"/>
      <c r="P297" s="16"/>
      <c r="Q297" s="17"/>
    </row>
    <row r="298" customFormat="false" ht="14.25" hidden="false" customHeight="false" outlineLevel="0" collapsed="false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6"/>
      <c r="N298" s="16"/>
      <c r="O298" s="16"/>
      <c r="P298" s="16"/>
      <c r="Q298" s="17"/>
    </row>
    <row r="299" customFormat="false" ht="14.25" hidden="false" customHeight="false" outlineLevel="0" collapsed="false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6"/>
      <c r="N299" s="16"/>
      <c r="O299" s="16"/>
      <c r="P299" s="16"/>
      <c r="Q299" s="17"/>
    </row>
    <row r="300" customFormat="false" ht="14.25" hidden="false" customHeight="false" outlineLevel="0" collapsed="false">
      <c r="A300" s="1" t="n">
        <v>136845</v>
      </c>
      <c r="B300" s="1" t="str">
        <f aca="false">LOOKUP($A300,peticiones!$C$2:$C$999,peticiones!E$2:E$999)</f>
        <v>Otras Peticiones ANS</v>
      </c>
      <c r="C300" s="1" t="n">
        <f aca="false">LOOKUP($A300,peticiones!$C$2:$C$999,peticiones!F$2:F$999)</f>
        <v>0</v>
      </c>
      <c r="D300" s="1" t="n">
        <f aca="false">LOOKUP($A300,peticiones!$C$2:$C$999,peticiones!G$2:G$999)</f>
        <v>0</v>
      </c>
      <c r="E300" s="1"/>
      <c r="F300" s="1"/>
      <c r="G300" s="1"/>
      <c r="H300" s="1"/>
      <c r="I300" s="1"/>
      <c r="J300" s="1"/>
      <c r="K300" s="1"/>
      <c r="L300" s="1"/>
      <c r="M300" s="16"/>
      <c r="N300" s="16"/>
      <c r="O300" s="16"/>
      <c r="P300" s="16"/>
      <c r="Q300" s="17"/>
    </row>
    <row r="301" customFormat="false" ht="14.25" hidden="false" customHeight="false" outlineLevel="0" collapsed="false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6"/>
      <c r="N301" s="16"/>
      <c r="O301" s="16"/>
      <c r="P301" s="16"/>
      <c r="Q301" s="17"/>
    </row>
    <row r="302" customFormat="false" ht="14.25" hidden="false" customHeight="false" outlineLevel="0" collapsed="false">
      <c r="A302" s="1" t="n">
        <v>136951</v>
      </c>
      <c r="B302" s="1" t="str">
        <f aca="false">LOOKUP($A302,peticiones!$C$2:$C$999,peticiones!E$2:E$999)</f>
        <v>Otras Peticiones ANS</v>
      </c>
      <c r="C302" s="1" t="n">
        <f aca="false">LOOKUP($A302,peticiones!$C$2:$C$999,peticiones!F$2:F$999)</f>
        <v>0</v>
      </c>
      <c r="D302" s="1" t="n">
        <f aca="false">LOOKUP($A302,peticiones!$C$2:$C$999,peticiones!G$2:G$999)</f>
        <v>0</v>
      </c>
      <c r="E302" s="1"/>
      <c r="F302" s="1"/>
      <c r="G302" s="1"/>
      <c r="H302" s="1"/>
      <c r="I302" s="1"/>
      <c r="J302" s="1"/>
      <c r="K302" s="1"/>
      <c r="L302" s="1"/>
      <c r="M302" s="16"/>
      <c r="N302" s="16"/>
      <c r="O302" s="16"/>
      <c r="P302" s="16"/>
      <c r="Q302" s="17"/>
    </row>
    <row r="303" customFormat="false" ht="14.25" hidden="false" customHeight="false" outlineLevel="0" collapsed="false">
      <c r="A303" s="1" t="n">
        <v>136962</v>
      </c>
      <c r="B303" s="1" t="str">
        <f aca="false">LOOKUP($A303,peticiones!$C$2:$C$999,peticiones!E$2:E$999)</f>
        <v>Otras Peticiones ANS</v>
      </c>
      <c r="C303" s="1" t="n">
        <f aca="false">LOOKUP($A303,peticiones!$C$2:$C$999,peticiones!F$2:F$999)</f>
        <v>0</v>
      </c>
      <c r="D303" s="1" t="n">
        <f aca="false">LOOKUP($A303,peticiones!$C$2:$C$999,peticiones!G$2:G$999)</f>
        <v>0</v>
      </c>
      <c r="E303" s="1"/>
      <c r="F303" s="1"/>
      <c r="G303" s="1"/>
      <c r="H303" s="1"/>
      <c r="I303" s="1"/>
      <c r="J303" s="1"/>
      <c r="K303" s="1"/>
      <c r="L303" s="1"/>
      <c r="M303" s="16"/>
      <c r="N303" s="16"/>
      <c r="O303" s="16"/>
      <c r="P303" s="16"/>
      <c r="Q303" s="17"/>
    </row>
    <row r="304" customFormat="false" ht="14.25" hidden="false" customHeight="false" outlineLevel="0" collapsed="false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6"/>
      <c r="N304" s="16"/>
      <c r="O304" s="16"/>
      <c r="P304" s="16"/>
      <c r="Q304" s="17"/>
    </row>
    <row r="305" customFormat="false" ht="14.25" hidden="false" customHeight="false" outlineLevel="0" collapsed="false">
      <c r="A305" s="1" t="n">
        <v>136990</v>
      </c>
      <c r="B305" s="1" t="str">
        <f aca="false">LOOKUP($A305,peticiones!$C$2:$C$999,peticiones!E$2:E$999)</f>
        <v>Otras Peticiones ANS</v>
      </c>
      <c r="C305" s="1" t="n">
        <f aca="false">LOOKUP($A305,peticiones!$C$2:$C$999,peticiones!F$2:F$999)</f>
        <v>0</v>
      </c>
      <c r="D305" s="1" t="n">
        <f aca="false">LOOKUP($A305,peticiones!$C$2:$C$999,peticiones!G$2:G$999)</f>
        <v>0</v>
      </c>
      <c r="E305" s="1"/>
      <c r="F305" s="1"/>
      <c r="G305" s="1"/>
      <c r="H305" s="1"/>
      <c r="I305" s="1"/>
      <c r="J305" s="1"/>
      <c r="K305" s="1"/>
      <c r="L305" s="1"/>
      <c r="M305" s="16"/>
      <c r="N305" s="16"/>
      <c r="O305" s="16"/>
      <c r="P305" s="16"/>
      <c r="Q305" s="17"/>
    </row>
    <row r="306" customFormat="false" ht="14.25" hidden="false" customHeight="false" outlineLevel="0" collapsed="false">
      <c r="A306" s="1" t="n">
        <v>136992</v>
      </c>
      <c r="B306" s="1" t="str">
        <f aca="false">LOOKUP($A306,peticiones!$C$2:$C$999,peticiones!E$2:E$999)</f>
        <v>Otras Peticiones ANS</v>
      </c>
      <c r="C306" s="1" t="n">
        <f aca="false">LOOKUP($A306,peticiones!$C$2:$C$999,peticiones!F$2:F$999)</f>
        <v>0</v>
      </c>
      <c r="D306" s="1" t="n">
        <f aca="false">LOOKUP($A306,peticiones!$C$2:$C$999,peticiones!G$2:G$999)</f>
        <v>0</v>
      </c>
      <c r="E306" s="1"/>
      <c r="F306" s="1"/>
      <c r="G306" s="1"/>
      <c r="H306" s="1"/>
      <c r="I306" s="1"/>
      <c r="J306" s="1"/>
      <c r="K306" s="1"/>
      <c r="L306" s="1"/>
      <c r="M306" s="16"/>
      <c r="N306" s="16"/>
      <c r="O306" s="16"/>
      <c r="P306" s="16"/>
      <c r="Q306" s="17"/>
    </row>
    <row r="307" customFormat="false" ht="14.25" hidden="false" customHeight="false" outlineLevel="0" collapsed="false">
      <c r="A307" s="1" t="n">
        <v>137004</v>
      </c>
      <c r="B307" s="1" t="str">
        <f aca="false">LOOKUP($A307,peticiones!$C$2:$C$999,peticiones!E$2:E$999)</f>
        <v>Otras Peticiones ANS</v>
      </c>
      <c r="C307" s="1" t="n">
        <f aca="false">LOOKUP($A307,peticiones!$C$2:$C$999,peticiones!F$2:F$999)</f>
        <v>0</v>
      </c>
      <c r="D307" s="1" t="n">
        <f aca="false">LOOKUP($A307,peticiones!$C$2:$C$999,peticiones!G$2:G$999)</f>
        <v>0</v>
      </c>
      <c r="E307" s="1"/>
      <c r="F307" s="1"/>
      <c r="G307" s="1"/>
      <c r="H307" s="1"/>
      <c r="I307" s="1"/>
      <c r="J307" s="1"/>
      <c r="K307" s="1"/>
      <c r="L307" s="1"/>
      <c r="M307" s="16"/>
      <c r="N307" s="16"/>
      <c r="O307" s="16"/>
      <c r="P307" s="16"/>
      <c r="Q307" s="17"/>
    </row>
    <row r="308" customFormat="false" ht="14.25" hidden="false" customHeight="false" outlineLevel="0" collapsed="false">
      <c r="A308" s="1" t="n">
        <v>137052</v>
      </c>
      <c r="B308" s="1" t="str">
        <f aca="false">LOOKUP($A308,peticiones!$C$2:$C$999,peticiones!E$2:E$999)</f>
        <v>Otras Peticiones ANS</v>
      </c>
      <c r="C308" s="1" t="n">
        <f aca="false">LOOKUP($A308,peticiones!$C$2:$C$999,peticiones!F$2:F$999)</f>
        <v>0</v>
      </c>
      <c r="D308" s="1" t="n">
        <f aca="false">LOOKUP($A308,peticiones!$C$2:$C$999,peticiones!G$2:G$999)</f>
        <v>0</v>
      </c>
      <c r="E308" s="1"/>
      <c r="F308" s="1"/>
      <c r="G308" s="1"/>
      <c r="H308" s="1"/>
      <c r="I308" s="1"/>
      <c r="J308" s="1"/>
      <c r="K308" s="1"/>
      <c r="L308" s="1"/>
      <c r="M308" s="16"/>
      <c r="N308" s="16"/>
      <c r="O308" s="16"/>
      <c r="P308" s="16"/>
      <c r="Q308" s="17"/>
    </row>
    <row r="309" customFormat="false" ht="14.25" hidden="false" customHeight="false" outlineLevel="0" collapsed="false">
      <c r="A309" s="1" t="n">
        <v>137066</v>
      </c>
      <c r="B309" s="1" t="str">
        <f aca="false">LOOKUP($A309,peticiones!$C$2:$C$999,peticiones!E$2:E$999)</f>
        <v>Otras Peticiones ANS</v>
      </c>
      <c r="C309" s="1" t="n">
        <f aca="false">LOOKUP($A309,peticiones!$C$2:$C$999,peticiones!F$2:F$999)</f>
        <v>0</v>
      </c>
      <c r="D309" s="1" t="n">
        <f aca="false">LOOKUP($A309,peticiones!$C$2:$C$999,peticiones!G$2:G$999)</f>
        <v>0</v>
      </c>
      <c r="E309" s="1"/>
      <c r="F309" s="1"/>
      <c r="G309" s="1"/>
      <c r="H309" s="1"/>
      <c r="I309" s="1"/>
      <c r="J309" s="1"/>
      <c r="K309" s="1"/>
      <c r="L309" s="1"/>
      <c r="M309" s="16"/>
      <c r="N309" s="16"/>
      <c r="O309" s="16"/>
      <c r="P309" s="16"/>
      <c r="Q309" s="17"/>
    </row>
    <row r="310" customFormat="false" ht="14.25" hidden="false" customHeight="false" outlineLevel="0" collapsed="false">
      <c r="A310" s="1" t="n">
        <v>137067</v>
      </c>
      <c r="B310" s="1" t="str">
        <f aca="false">LOOKUP($A310,peticiones!$C$2:$C$999,peticiones!E$2:E$999)</f>
        <v>Otras Peticiones ANS</v>
      </c>
      <c r="C310" s="1" t="n">
        <f aca="false">LOOKUP($A310,peticiones!$C$2:$C$999,peticiones!F$2:F$999)</f>
        <v>0</v>
      </c>
      <c r="D310" s="1" t="n">
        <f aca="false">LOOKUP($A310,peticiones!$C$2:$C$999,peticiones!G$2:G$999)</f>
        <v>0</v>
      </c>
      <c r="E310" s="1"/>
      <c r="F310" s="1"/>
      <c r="G310" s="1"/>
      <c r="H310" s="1"/>
      <c r="I310" s="1"/>
      <c r="J310" s="1"/>
      <c r="K310" s="1"/>
      <c r="L310" s="1"/>
      <c r="M310" s="16"/>
      <c r="N310" s="16"/>
      <c r="O310" s="16"/>
      <c r="P310" s="16"/>
      <c r="Q310" s="17"/>
    </row>
    <row r="311" customFormat="false" ht="14.25" hidden="false" customHeight="false" outlineLevel="0" collapsed="false">
      <c r="A311" s="1" t="n">
        <v>137068</v>
      </c>
      <c r="B311" s="1" t="str">
        <f aca="false">LOOKUP($A311,peticiones!$C$2:$C$999,peticiones!E$2:E$999)</f>
        <v>Otras Peticiones ANS</v>
      </c>
      <c r="C311" s="1" t="n">
        <f aca="false">LOOKUP($A311,peticiones!$C$2:$C$999,peticiones!F$2:F$999)</f>
        <v>0</v>
      </c>
      <c r="D311" s="1" t="n">
        <f aca="false">LOOKUP($A311,peticiones!$C$2:$C$999,peticiones!G$2:G$999)</f>
        <v>0</v>
      </c>
      <c r="E311" s="1"/>
      <c r="F311" s="1"/>
      <c r="G311" s="1"/>
      <c r="H311" s="1"/>
      <c r="I311" s="1"/>
      <c r="J311" s="1"/>
      <c r="K311" s="1"/>
      <c r="L311" s="1"/>
      <c r="M311" s="16"/>
      <c r="N311" s="16"/>
      <c r="O311" s="16"/>
      <c r="P311" s="16"/>
      <c r="Q311" s="17"/>
    </row>
    <row r="312" customFormat="false" ht="14.25" hidden="false" customHeight="false" outlineLevel="0" collapsed="false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6"/>
      <c r="N312" s="16"/>
      <c r="O312" s="16"/>
      <c r="P312" s="16"/>
      <c r="Q312" s="17"/>
    </row>
    <row r="313" customFormat="false" ht="14.25" hidden="false" customHeight="false" outlineLevel="0" collapsed="false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6"/>
      <c r="N313" s="16"/>
      <c r="O313" s="16"/>
      <c r="P313" s="16"/>
      <c r="Q313" s="17"/>
    </row>
    <row r="314" customFormat="false" ht="14.25" hidden="false" customHeight="false" outlineLevel="0" collapsed="false">
      <c r="A314" s="1" t="n">
        <v>137121</v>
      </c>
      <c r="B314" s="1" t="str">
        <f aca="false">LOOKUP($A314,peticiones!$C$2:$C$999,peticiones!E$2:E$999)</f>
        <v>Otras Peticiones ANS</v>
      </c>
      <c r="C314" s="1" t="n">
        <f aca="false">LOOKUP($A314,peticiones!$C$2:$C$999,peticiones!F$2:F$999)</f>
        <v>0</v>
      </c>
      <c r="D314" s="1" t="n">
        <f aca="false">LOOKUP($A314,peticiones!$C$2:$C$999,peticiones!G$2:G$999)</f>
        <v>0</v>
      </c>
      <c r="E314" s="1"/>
      <c r="F314" s="1"/>
      <c r="G314" s="1"/>
      <c r="H314" s="1"/>
      <c r="I314" s="1"/>
      <c r="J314" s="1"/>
      <c r="K314" s="1"/>
      <c r="L314" s="1"/>
      <c r="M314" s="16"/>
      <c r="N314" s="16"/>
      <c r="O314" s="16"/>
      <c r="P314" s="16"/>
      <c r="Q314" s="17"/>
    </row>
    <row r="315" customFormat="false" ht="14.25" hidden="false" customHeight="false" outlineLevel="0" collapsed="false">
      <c r="A315" s="1" t="n">
        <v>137132</v>
      </c>
      <c r="B315" s="1" t="str">
        <f aca="false">LOOKUP($A315,peticiones!$C$2:$C$999,peticiones!E$2:E$999)</f>
        <v>Otras Peticiones ANS</v>
      </c>
      <c r="C315" s="1" t="n">
        <f aca="false">LOOKUP($A315,peticiones!$C$2:$C$999,peticiones!F$2:F$999)</f>
        <v>0</v>
      </c>
      <c r="D315" s="1" t="n">
        <f aca="false">LOOKUP($A315,peticiones!$C$2:$C$999,peticiones!G$2:G$999)</f>
        <v>0</v>
      </c>
      <c r="E315" s="1"/>
      <c r="F315" s="1"/>
      <c r="G315" s="1"/>
      <c r="H315" s="1"/>
      <c r="I315" s="1"/>
      <c r="J315" s="1"/>
      <c r="K315" s="1"/>
      <c r="L315" s="1"/>
      <c r="M315" s="16"/>
      <c r="N315" s="16"/>
      <c r="O315" s="16"/>
      <c r="P315" s="16"/>
      <c r="Q315" s="17"/>
    </row>
    <row r="316" customFormat="false" ht="14.25" hidden="false" customHeight="false" outlineLevel="0" collapsed="false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6"/>
      <c r="N316" s="16"/>
      <c r="O316" s="16"/>
      <c r="P316" s="16"/>
      <c r="Q316" s="17"/>
    </row>
    <row r="317" customFormat="false" ht="14.25" hidden="false" customHeight="false" outlineLevel="0" collapsed="false">
      <c r="A317" s="1" t="n">
        <v>137158</v>
      </c>
      <c r="B317" s="1" t="str">
        <f aca="false">LOOKUP($A317,peticiones!$C$2:$C$999,peticiones!E$2:E$999)</f>
        <v>Otras Peticiones ANS</v>
      </c>
      <c r="C317" s="1" t="n">
        <f aca="false">LOOKUP($A317,peticiones!$C$2:$C$999,peticiones!F$2:F$999)</f>
        <v>0</v>
      </c>
      <c r="D317" s="1" t="n">
        <f aca="false">LOOKUP($A317,peticiones!$C$2:$C$999,peticiones!G$2:G$999)</f>
        <v>0</v>
      </c>
      <c r="E317" s="1"/>
      <c r="F317" s="1"/>
      <c r="G317" s="1"/>
      <c r="H317" s="1"/>
      <c r="I317" s="1"/>
      <c r="J317" s="1"/>
      <c r="K317" s="1"/>
      <c r="L317" s="1"/>
      <c r="M317" s="16"/>
      <c r="N317" s="16"/>
      <c r="O317" s="16"/>
      <c r="P317" s="16"/>
      <c r="Q317" s="17"/>
    </row>
    <row r="318" customFormat="false" ht="14.25" hidden="false" customHeight="false" outlineLevel="0" collapsed="false">
      <c r="A318" s="1" t="n">
        <v>137223</v>
      </c>
      <c r="B318" s="1" t="str">
        <f aca="false">LOOKUP($A318,peticiones!$C$2:$C$999,peticiones!E$2:E$999)</f>
        <v>Otras Peticiones ANS</v>
      </c>
      <c r="C318" s="1" t="n">
        <f aca="false">LOOKUP($A318,peticiones!$C$2:$C$999,peticiones!F$2:F$999)</f>
        <v>0</v>
      </c>
      <c r="D318" s="1" t="n">
        <f aca="false">LOOKUP($A318,peticiones!$C$2:$C$999,peticiones!G$2:G$999)</f>
        <v>0</v>
      </c>
      <c r="E318" s="1"/>
      <c r="F318" s="1"/>
      <c r="G318" s="1"/>
      <c r="H318" s="1"/>
      <c r="I318" s="1"/>
      <c r="J318" s="1"/>
      <c r="K318" s="1"/>
      <c r="L318" s="1"/>
      <c r="M318" s="16"/>
      <c r="N318" s="16"/>
      <c r="O318" s="16"/>
      <c r="P318" s="16"/>
      <c r="Q318" s="17"/>
    </row>
    <row r="319" customFormat="false" ht="14.25" hidden="false" customHeight="false" outlineLevel="0" collapsed="false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6"/>
      <c r="N319" s="16"/>
      <c r="O319" s="16"/>
      <c r="P319" s="16"/>
      <c r="Q319" s="17"/>
    </row>
    <row r="320" customFormat="false" ht="14.25" hidden="false" customHeight="false" outlineLevel="0" collapsed="false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6"/>
      <c r="N320" s="16"/>
      <c r="O320" s="16"/>
      <c r="P320" s="16"/>
      <c r="Q320" s="17"/>
    </row>
    <row r="321" customFormat="false" ht="14.25" hidden="false" customHeight="false" outlineLevel="0" collapsed="false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6"/>
      <c r="N321" s="16"/>
      <c r="O321" s="16"/>
      <c r="P321" s="16"/>
      <c r="Q321" s="17"/>
    </row>
    <row r="322" customFormat="false" ht="14.25" hidden="false" customHeight="false" outlineLevel="0" collapsed="false">
      <c r="A322" s="1" t="n">
        <v>137333</v>
      </c>
      <c r="B322" s="1" t="str">
        <f aca="false">LOOKUP($A322,peticiones!$C$2:$C$999,peticiones!E$2:E$999)</f>
        <v>Otras Peticiones ANS</v>
      </c>
      <c r="C322" s="1" t="n">
        <f aca="false">LOOKUP($A322,peticiones!$C$2:$C$999,peticiones!F$2:F$999)</f>
        <v>0</v>
      </c>
      <c r="D322" s="1" t="n">
        <f aca="false">LOOKUP($A322,peticiones!$C$2:$C$999,peticiones!G$2:G$999)</f>
        <v>0</v>
      </c>
      <c r="E322" s="1"/>
      <c r="F322" s="1"/>
      <c r="G322" s="1"/>
      <c r="H322" s="1"/>
      <c r="I322" s="1"/>
      <c r="J322" s="1"/>
      <c r="K322" s="1"/>
      <c r="L322" s="1"/>
      <c r="M322" s="16"/>
      <c r="N322" s="16"/>
      <c r="O322" s="16"/>
      <c r="P322" s="16"/>
      <c r="Q322" s="17"/>
    </row>
    <row r="323" customFormat="false" ht="14.25" hidden="false" customHeight="false" outlineLevel="0" collapsed="false">
      <c r="A323" s="1" t="n">
        <v>137396</v>
      </c>
      <c r="B323" s="1" t="str">
        <f aca="false">LOOKUP($A323,peticiones!$C$2:$C$999,peticiones!E$2:E$999)</f>
        <v>Otras Peticiones ANS</v>
      </c>
      <c r="C323" s="1" t="n">
        <f aca="false">LOOKUP($A323,peticiones!$C$2:$C$999,peticiones!F$2:F$999)</f>
        <v>0</v>
      </c>
      <c r="D323" s="1" t="n">
        <f aca="false">LOOKUP($A323,peticiones!$C$2:$C$999,peticiones!G$2:G$999)</f>
        <v>0</v>
      </c>
      <c r="E323" s="1"/>
      <c r="F323" s="1"/>
      <c r="G323" s="1"/>
      <c r="H323" s="1"/>
      <c r="I323" s="1"/>
      <c r="J323" s="1"/>
      <c r="K323" s="1"/>
      <c r="L323" s="1"/>
      <c r="M323" s="16"/>
      <c r="N323" s="16"/>
      <c r="O323" s="16"/>
      <c r="P323" s="16"/>
      <c r="Q323" s="17"/>
    </row>
    <row r="324" customFormat="false" ht="14.25" hidden="false" customHeight="false" outlineLevel="0" collapsed="false">
      <c r="A324" s="1" t="n">
        <v>137550</v>
      </c>
      <c r="B324" s="1" t="str">
        <f aca="false">LOOKUP($A324,peticiones!$C$2:$C$999,peticiones!E$2:E$999)</f>
        <v>Otras Peticiones ANS</v>
      </c>
      <c r="C324" s="1" t="n">
        <f aca="false">LOOKUP($A324,peticiones!$C$2:$C$999,peticiones!F$2:F$999)</f>
        <v>0</v>
      </c>
      <c r="D324" s="1" t="n">
        <f aca="false">LOOKUP($A324,peticiones!$C$2:$C$999,peticiones!G$2:G$999)</f>
        <v>0</v>
      </c>
      <c r="E324" s="1"/>
      <c r="F324" s="1"/>
      <c r="G324" s="1"/>
      <c r="H324" s="1"/>
      <c r="I324" s="1"/>
      <c r="J324" s="1"/>
      <c r="K324" s="1"/>
      <c r="L324" s="1"/>
      <c r="M324" s="16"/>
      <c r="N324" s="16"/>
      <c r="O324" s="16"/>
      <c r="P324" s="16"/>
      <c r="Q324" s="17"/>
    </row>
    <row r="325" customFormat="false" ht="14.25" hidden="false" customHeight="false" outlineLevel="0" collapsed="false">
      <c r="A325" s="1" t="n">
        <v>137675</v>
      </c>
      <c r="B325" s="1" t="str">
        <f aca="false">LOOKUP($A325,peticiones!$C$2:$C$999,peticiones!E$2:E$999)</f>
        <v>Otras Peticiones ANS</v>
      </c>
      <c r="C325" s="1" t="n">
        <f aca="false">LOOKUP($A325,peticiones!$C$2:$C$999,peticiones!F$2:F$999)</f>
        <v>0</v>
      </c>
      <c r="D325" s="1" t="n">
        <f aca="false">LOOKUP($A325,peticiones!$C$2:$C$999,peticiones!G$2:G$999)</f>
        <v>0</v>
      </c>
      <c r="E325" s="1"/>
      <c r="F325" s="1"/>
      <c r="G325" s="1"/>
      <c r="H325" s="1"/>
      <c r="I325" s="1"/>
      <c r="J325" s="1"/>
      <c r="K325" s="1"/>
      <c r="L325" s="1"/>
      <c r="M325" s="16"/>
      <c r="N325" s="16"/>
      <c r="O325" s="16"/>
      <c r="P325" s="16"/>
      <c r="Q325" s="17"/>
    </row>
    <row r="326" customFormat="false" ht="14.25" hidden="false" customHeight="false" outlineLevel="0" collapsed="false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6"/>
      <c r="N326" s="16"/>
      <c r="O326" s="16"/>
      <c r="P326" s="16"/>
      <c r="Q326" s="17"/>
    </row>
    <row r="327" customFormat="false" ht="14.25" hidden="false" customHeight="false" outlineLevel="0" collapsed="false">
      <c r="A327" s="1" t="n">
        <v>137692</v>
      </c>
      <c r="B327" s="1" t="str">
        <f aca="false">LOOKUP($A327,peticiones!$C$2:$C$999,peticiones!E$2:E$999)</f>
        <v>Otras Peticiones ANS</v>
      </c>
      <c r="C327" s="1" t="n">
        <f aca="false">LOOKUP($A327,peticiones!$C$2:$C$999,peticiones!F$2:F$999)</f>
        <v>0</v>
      </c>
      <c r="D327" s="1" t="n">
        <f aca="false">LOOKUP($A327,peticiones!$C$2:$C$999,peticiones!G$2:G$999)</f>
        <v>0</v>
      </c>
      <c r="E327" s="1"/>
      <c r="F327" s="1"/>
      <c r="G327" s="1"/>
      <c r="H327" s="1"/>
      <c r="I327" s="1"/>
      <c r="J327" s="1"/>
      <c r="K327" s="1"/>
      <c r="L327" s="1"/>
      <c r="M327" s="16"/>
      <c r="N327" s="16"/>
      <c r="O327" s="16"/>
      <c r="P327" s="16"/>
      <c r="Q327" s="17"/>
    </row>
    <row r="328" customFormat="false" ht="14.25" hidden="false" customHeight="false" outlineLevel="0" collapsed="false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6"/>
      <c r="N328" s="16"/>
      <c r="O328" s="16"/>
      <c r="P328" s="16"/>
      <c r="Q328" s="17"/>
    </row>
    <row r="329" customFormat="false" ht="14.25" hidden="false" customHeight="false" outlineLevel="0" collapsed="false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6"/>
      <c r="N329" s="16"/>
      <c r="O329" s="16"/>
      <c r="P329" s="16"/>
      <c r="Q329" s="17"/>
    </row>
    <row r="330" customFormat="false" ht="14.25" hidden="false" customHeight="false" outlineLevel="0" collapsed="false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6"/>
      <c r="N330" s="16"/>
      <c r="O330" s="16"/>
      <c r="P330" s="16"/>
      <c r="Q330" s="17"/>
    </row>
    <row r="331" customFormat="false" ht="14.25" hidden="false" customHeight="false" outlineLevel="0" collapsed="false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6"/>
      <c r="N331" s="16"/>
      <c r="O331" s="16"/>
      <c r="P331" s="16"/>
      <c r="Q331" s="17"/>
    </row>
    <row r="332" customFormat="false" ht="14.25" hidden="false" customHeight="false" outlineLevel="0" collapsed="false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6"/>
      <c r="N332" s="16"/>
      <c r="O332" s="16"/>
      <c r="P332" s="16"/>
      <c r="Q332" s="17"/>
    </row>
    <row r="333" customFormat="false" ht="14.25" hidden="false" customHeight="false" outlineLevel="0" collapsed="false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6"/>
      <c r="N333" s="16"/>
      <c r="O333" s="16"/>
      <c r="P333" s="16"/>
      <c r="Q333" s="17"/>
    </row>
    <row r="334" customFormat="false" ht="14.25" hidden="false" customHeight="false" outlineLevel="0" collapsed="false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6"/>
      <c r="N334" s="16"/>
      <c r="O334" s="16"/>
      <c r="P334" s="16"/>
      <c r="Q334" s="17"/>
    </row>
    <row r="335" customFormat="false" ht="14.25" hidden="false" customHeight="false" outlineLevel="0" collapsed="false">
      <c r="A335" s="1" t="n">
        <v>137884</v>
      </c>
      <c r="B335" s="1" t="str">
        <f aca="false">LOOKUP($A335,peticiones!$C$2:$C$999,peticiones!E$2:E$999)</f>
        <v>Otras Peticiones ANS</v>
      </c>
      <c r="C335" s="1" t="n">
        <f aca="false">LOOKUP($A335,peticiones!$C$2:$C$999,peticiones!F$2:F$999)</f>
        <v>0</v>
      </c>
      <c r="D335" s="1" t="n">
        <f aca="false">LOOKUP($A335,peticiones!$C$2:$C$999,peticiones!G$2:G$999)</f>
        <v>0</v>
      </c>
      <c r="E335" s="1"/>
      <c r="F335" s="1"/>
      <c r="G335" s="1"/>
      <c r="H335" s="1"/>
      <c r="I335" s="1"/>
      <c r="J335" s="1"/>
      <c r="K335" s="1"/>
      <c r="L335" s="1"/>
      <c r="M335" s="16"/>
      <c r="N335" s="16"/>
      <c r="O335" s="16"/>
      <c r="P335" s="16"/>
      <c r="Q335" s="17"/>
    </row>
    <row r="336" customFormat="false" ht="14.25" hidden="false" customHeight="false" outlineLevel="0" collapsed="false">
      <c r="A336" s="1" t="n">
        <v>137887</v>
      </c>
      <c r="B336" s="1" t="str">
        <f aca="false">LOOKUP($A336,peticiones!$C$2:$C$999,peticiones!E$2:E$999)</f>
        <v>Otras Peticiones ANS</v>
      </c>
      <c r="C336" s="1" t="n">
        <f aca="false">LOOKUP($A336,peticiones!$C$2:$C$999,peticiones!F$2:F$999)</f>
        <v>0</v>
      </c>
      <c r="D336" s="1" t="n">
        <f aca="false">LOOKUP($A336,peticiones!$C$2:$C$999,peticiones!G$2:G$999)</f>
        <v>0</v>
      </c>
      <c r="E336" s="1"/>
      <c r="F336" s="1"/>
      <c r="G336" s="1"/>
      <c r="H336" s="1"/>
      <c r="I336" s="1"/>
      <c r="J336" s="1"/>
      <c r="K336" s="1"/>
      <c r="L336" s="1"/>
      <c r="M336" s="16"/>
      <c r="N336" s="16"/>
      <c r="O336" s="16"/>
      <c r="P336" s="16"/>
      <c r="Q336" s="17"/>
    </row>
    <row r="337" customFormat="false" ht="14.25" hidden="false" customHeight="false" outlineLevel="0" collapsed="false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6"/>
      <c r="N337" s="16"/>
      <c r="O337" s="16"/>
      <c r="P337" s="16"/>
      <c r="Q337" s="17"/>
    </row>
    <row r="338" customFormat="false" ht="14.25" hidden="false" customHeight="false" outlineLevel="0" collapsed="false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6"/>
      <c r="N338" s="16"/>
      <c r="O338" s="16"/>
      <c r="P338" s="16"/>
      <c r="Q338" s="17"/>
    </row>
    <row r="339" customFormat="false" ht="14.25" hidden="false" customHeight="false" outlineLevel="0" collapsed="false">
      <c r="A339" s="1" t="n">
        <v>137954</v>
      </c>
      <c r="B339" s="1" t="str">
        <f aca="false">LOOKUP($A339,peticiones!$C$2:$C$999,peticiones!E$2:E$999)</f>
        <v>Otras Peticiones ANS</v>
      </c>
      <c r="C339" s="1" t="n">
        <f aca="false">LOOKUP($A339,peticiones!$C$2:$C$999,peticiones!F$2:F$999)</f>
        <v>0</v>
      </c>
      <c r="D339" s="1" t="n">
        <f aca="false">LOOKUP($A339,peticiones!$C$2:$C$999,peticiones!G$2:G$999)</f>
        <v>0</v>
      </c>
      <c r="E339" s="1"/>
      <c r="F339" s="1"/>
      <c r="G339" s="1"/>
      <c r="H339" s="1"/>
      <c r="I339" s="1"/>
      <c r="J339" s="1"/>
      <c r="K339" s="1"/>
      <c r="L339" s="1"/>
      <c r="M339" s="16"/>
      <c r="N339" s="16"/>
      <c r="O339" s="16"/>
      <c r="P339" s="16"/>
      <c r="Q339" s="17"/>
    </row>
    <row r="340" customFormat="false" ht="14.25" hidden="false" customHeight="false" outlineLevel="0" collapsed="false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6"/>
      <c r="N340" s="16"/>
      <c r="O340" s="16"/>
      <c r="P340" s="16"/>
      <c r="Q340" s="17"/>
    </row>
    <row r="341" customFormat="false" ht="14.25" hidden="false" customHeight="false" outlineLevel="0" collapsed="false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6"/>
      <c r="N341" s="16"/>
      <c r="O341" s="16"/>
      <c r="P341" s="16"/>
      <c r="Q341" s="17"/>
    </row>
    <row r="342" customFormat="false" ht="14.25" hidden="false" customHeight="false" outlineLevel="0" collapsed="false">
      <c r="A342" s="1" t="n">
        <v>138011</v>
      </c>
      <c r="B342" s="1" t="str">
        <f aca="false">LOOKUP($A342,peticiones!$C$2:$C$999,peticiones!E$2:E$999)</f>
        <v>Otras Peticiones ANS</v>
      </c>
      <c r="C342" s="1" t="n">
        <f aca="false">LOOKUP($A342,peticiones!$C$2:$C$999,peticiones!F$2:F$999)</f>
        <v>0</v>
      </c>
      <c r="D342" s="1" t="n">
        <f aca="false">LOOKUP($A342,peticiones!$C$2:$C$999,peticiones!G$2:G$999)</f>
        <v>0</v>
      </c>
      <c r="E342" s="1"/>
      <c r="F342" s="1"/>
      <c r="G342" s="1"/>
      <c r="H342" s="1"/>
      <c r="I342" s="1"/>
      <c r="J342" s="1"/>
      <c r="K342" s="1"/>
      <c r="L342" s="1"/>
      <c r="M342" s="16"/>
      <c r="N342" s="16"/>
      <c r="O342" s="16"/>
      <c r="P342" s="16"/>
      <c r="Q342" s="17"/>
    </row>
    <row r="343" customFormat="false" ht="14.25" hidden="false" customHeight="false" outlineLevel="0" collapsed="false">
      <c r="A343" s="1" t="n">
        <v>138013</v>
      </c>
      <c r="B343" s="1" t="str">
        <f aca="false">LOOKUP($A343,peticiones!$C$2:$C$999,peticiones!E$2:E$999)</f>
        <v>Otras Peticiones ANS</v>
      </c>
      <c r="C343" s="1" t="n">
        <f aca="false">LOOKUP($A343,peticiones!$C$2:$C$999,peticiones!F$2:F$999)</f>
        <v>0</v>
      </c>
      <c r="D343" s="1" t="n">
        <f aca="false">LOOKUP($A343,peticiones!$C$2:$C$999,peticiones!G$2:G$999)</f>
        <v>0</v>
      </c>
      <c r="E343" s="1"/>
      <c r="F343" s="1"/>
      <c r="G343" s="1"/>
      <c r="H343" s="1"/>
      <c r="I343" s="1"/>
      <c r="J343" s="1"/>
      <c r="K343" s="1"/>
      <c r="L343" s="1"/>
      <c r="M343" s="16"/>
      <c r="N343" s="16"/>
      <c r="O343" s="16"/>
      <c r="P343" s="16"/>
      <c r="Q343" s="17"/>
    </row>
    <row r="344" customFormat="false" ht="14.25" hidden="false" customHeight="false" outlineLevel="0" collapsed="false">
      <c r="A344" s="1" t="n">
        <v>138049</v>
      </c>
      <c r="B344" s="1" t="str">
        <f aca="false">LOOKUP($A344,peticiones!$C$2:$C$999,peticiones!E$2:E$999)</f>
        <v>Otras Peticiones ANS</v>
      </c>
      <c r="C344" s="1" t="n">
        <f aca="false">LOOKUP($A344,peticiones!$C$2:$C$999,peticiones!F$2:F$999)</f>
        <v>0</v>
      </c>
      <c r="D344" s="1" t="n">
        <f aca="false">LOOKUP($A344,peticiones!$C$2:$C$999,peticiones!G$2:G$999)</f>
        <v>0</v>
      </c>
      <c r="E344" s="1"/>
      <c r="F344" s="1"/>
      <c r="G344" s="1"/>
      <c r="H344" s="1"/>
      <c r="I344" s="1"/>
      <c r="J344" s="1"/>
      <c r="K344" s="1"/>
      <c r="L344" s="1"/>
      <c r="M344" s="16"/>
      <c r="N344" s="16"/>
      <c r="O344" s="16"/>
      <c r="P344" s="16"/>
      <c r="Q344" s="17"/>
    </row>
    <row r="345" customFormat="false" ht="14.25" hidden="false" customHeight="false" outlineLevel="0" collapsed="false">
      <c r="A345" s="1" t="n">
        <v>138085</v>
      </c>
      <c r="B345" s="1" t="str">
        <f aca="false">LOOKUP($A345,peticiones!$C$2:$C$999,peticiones!E$2:E$999)</f>
        <v>Otras Peticiones ANS</v>
      </c>
      <c r="C345" s="1" t="n">
        <f aca="false">LOOKUP($A345,peticiones!$C$2:$C$999,peticiones!F$2:F$999)</f>
        <v>0</v>
      </c>
      <c r="D345" s="1" t="n">
        <f aca="false">LOOKUP($A345,peticiones!$C$2:$C$999,peticiones!G$2:G$999)</f>
        <v>0</v>
      </c>
      <c r="E345" s="1"/>
      <c r="F345" s="1"/>
      <c r="G345" s="1"/>
      <c r="H345" s="1"/>
      <c r="I345" s="1"/>
      <c r="J345" s="1"/>
      <c r="K345" s="1"/>
      <c r="L345" s="1"/>
      <c r="M345" s="16"/>
      <c r="N345" s="16"/>
      <c r="O345" s="16"/>
      <c r="P345" s="16"/>
      <c r="Q345" s="17"/>
    </row>
    <row r="346" customFormat="false" ht="14.25" hidden="false" customHeight="false" outlineLevel="0" collapsed="false">
      <c r="A346" s="1" t="n">
        <v>138178</v>
      </c>
      <c r="B346" s="1" t="str">
        <f aca="false">LOOKUP($A346,peticiones!$C$2:$C$999,peticiones!E$2:E$999)</f>
        <v>Otras Peticiones ANS</v>
      </c>
      <c r="C346" s="1" t="n">
        <f aca="false">LOOKUP($A346,peticiones!$C$2:$C$999,peticiones!F$2:F$999)</f>
        <v>0</v>
      </c>
      <c r="D346" s="1" t="n">
        <f aca="false">LOOKUP($A346,peticiones!$C$2:$C$999,peticiones!G$2:G$999)</f>
        <v>0</v>
      </c>
      <c r="E346" s="1"/>
      <c r="F346" s="1"/>
      <c r="G346" s="1"/>
      <c r="H346" s="1"/>
      <c r="I346" s="1"/>
      <c r="J346" s="1"/>
      <c r="K346" s="1"/>
      <c r="L346" s="1"/>
      <c r="M346" s="16"/>
      <c r="N346" s="16"/>
      <c r="O346" s="16"/>
      <c r="P346" s="16"/>
      <c r="Q346" s="17"/>
    </row>
    <row r="347" customFormat="false" ht="14.25" hidden="false" customHeight="false" outlineLevel="0" collapsed="false">
      <c r="A347" s="1" t="n">
        <v>138402</v>
      </c>
      <c r="B347" s="1" t="str">
        <f aca="false">LOOKUP($A347,peticiones!$C$2:$C$999,peticiones!E$2:E$999)</f>
        <v>Otras Peticiones ANS</v>
      </c>
      <c r="C347" s="1" t="n">
        <f aca="false">LOOKUP($A347,peticiones!$C$2:$C$999,peticiones!F$2:F$999)</f>
        <v>0</v>
      </c>
      <c r="D347" s="1" t="n">
        <f aca="false">LOOKUP($A347,peticiones!$C$2:$C$999,peticiones!G$2:G$999)</f>
        <v>0</v>
      </c>
      <c r="E347" s="1"/>
      <c r="F347" s="1"/>
      <c r="G347" s="1"/>
      <c r="H347" s="1"/>
      <c r="I347" s="1"/>
      <c r="J347" s="1"/>
      <c r="K347" s="1"/>
      <c r="L347" s="1"/>
      <c r="M347" s="16"/>
      <c r="N347" s="16"/>
      <c r="O347" s="16"/>
      <c r="P347" s="16"/>
      <c r="Q347" s="17"/>
    </row>
    <row r="348" customFormat="false" ht="14.25" hidden="false" customHeight="false" outlineLevel="0" collapsed="false">
      <c r="A348" s="1" t="n">
        <v>138409</v>
      </c>
      <c r="B348" s="1" t="str">
        <f aca="false">LOOKUP($A348,peticiones!$C$2:$C$999,peticiones!E$2:E$999)</f>
        <v>Otras Peticiones ANS</v>
      </c>
      <c r="C348" s="1" t="n">
        <f aca="false">LOOKUP($A348,peticiones!$C$2:$C$999,peticiones!F$2:F$999)</f>
        <v>0</v>
      </c>
      <c r="D348" s="1" t="n">
        <f aca="false">LOOKUP($A348,peticiones!$C$2:$C$999,peticiones!G$2:G$999)</f>
        <v>0</v>
      </c>
      <c r="E348" s="1"/>
      <c r="F348" s="1"/>
      <c r="G348" s="1"/>
      <c r="H348" s="1"/>
      <c r="I348" s="1"/>
      <c r="J348" s="1"/>
      <c r="K348" s="1"/>
      <c r="L348" s="1"/>
      <c r="M348" s="16"/>
      <c r="N348" s="16"/>
      <c r="O348" s="16"/>
      <c r="P348" s="16"/>
      <c r="Q348" s="17"/>
    </row>
    <row r="349" customFormat="false" ht="14.25" hidden="false" customHeight="false" outlineLevel="0" collapsed="false">
      <c r="A349" s="1" t="n">
        <v>138444</v>
      </c>
      <c r="B349" s="1" t="str">
        <f aca="false">LOOKUP($A349,peticiones!$C$2:$C$999,peticiones!E$2:E$999)</f>
        <v>Otras Peticiones ANS</v>
      </c>
      <c r="C349" s="1" t="n">
        <f aca="false">LOOKUP($A349,peticiones!$C$2:$C$999,peticiones!F$2:F$999)</f>
        <v>0</v>
      </c>
      <c r="D349" s="1" t="n">
        <f aca="false">LOOKUP($A349,peticiones!$C$2:$C$999,peticiones!G$2:G$999)</f>
        <v>0</v>
      </c>
      <c r="E349" s="1"/>
      <c r="F349" s="1"/>
      <c r="G349" s="1"/>
      <c r="H349" s="1"/>
      <c r="I349" s="1"/>
      <c r="J349" s="1"/>
      <c r="K349" s="1"/>
      <c r="L349" s="1"/>
      <c r="M349" s="16"/>
      <c r="N349" s="16"/>
      <c r="O349" s="16"/>
      <c r="P349" s="16"/>
      <c r="Q349" s="17"/>
    </row>
    <row r="350" customFormat="false" ht="14.25" hidden="false" customHeight="false" outlineLevel="0" collapsed="false">
      <c r="A350" s="1" t="n">
        <v>138445</v>
      </c>
      <c r="B350" s="1" t="str">
        <f aca="false">LOOKUP($A350,peticiones!$C$2:$C$999,peticiones!E$2:E$999)</f>
        <v>Otras Peticiones ANS</v>
      </c>
      <c r="C350" s="1" t="n">
        <f aca="false">LOOKUP($A350,peticiones!$C$2:$C$999,peticiones!F$2:F$999)</f>
        <v>0</v>
      </c>
      <c r="D350" s="1" t="n">
        <f aca="false">LOOKUP($A350,peticiones!$C$2:$C$999,peticiones!G$2:G$999)</f>
        <v>0</v>
      </c>
      <c r="E350" s="1"/>
      <c r="F350" s="1"/>
      <c r="G350" s="1"/>
      <c r="H350" s="1"/>
      <c r="I350" s="1"/>
      <c r="J350" s="1"/>
      <c r="K350" s="1"/>
      <c r="L350" s="1"/>
      <c r="M350" s="16"/>
      <c r="N350" s="16"/>
      <c r="O350" s="16"/>
      <c r="P350" s="16"/>
      <c r="Q350" s="17"/>
    </row>
    <row r="351" customFormat="false" ht="14.25" hidden="false" customHeight="false" outlineLevel="0" collapsed="false">
      <c r="A351" s="1" t="n">
        <v>138446</v>
      </c>
      <c r="B351" s="1" t="str">
        <f aca="false">LOOKUP($A351,peticiones!$C$2:$C$999,peticiones!E$2:E$999)</f>
        <v>Otras Peticiones ANS</v>
      </c>
      <c r="C351" s="1" t="n">
        <f aca="false">LOOKUP($A351,peticiones!$C$2:$C$999,peticiones!F$2:F$999)</f>
        <v>0</v>
      </c>
      <c r="D351" s="1" t="n">
        <f aca="false">LOOKUP($A351,peticiones!$C$2:$C$999,peticiones!G$2:G$999)</f>
        <v>0</v>
      </c>
      <c r="E351" s="1"/>
      <c r="F351" s="1"/>
      <c r="G351" s="1"/>
      <c r="H351" s="1"/>
      <c r="I351" s="1"/>
      <c r="J351" s="1"/>
      <c r="K351" s="1"/>
      <c r="L351" s="1"/>
      <c r="M351" s="16"/>
      <c r="N351" s="16"/>
      <c r="O351" s="16"/>
      <c r="P351" s="16"/>
      <c r="Q351" s="17"/>
    </row>
    <row r="352" customFormat="false" ht="14.25" hidden="false" customHeight="false" outlineLevel="0" collapsed="false">
      <c r="A352" s="1" t="n">
        <v>138447</v>
      </c>
      <c r="B352" s="1" t="str">
        <f aca="false">LOOKUP($A352,peticiones!$C$2:$C$999,peticiones!E$2:E$999)</f>
        <v>Otras Peticiones ANS</v>
      </c>
      <c r="C352" s="1" t="n">
        <f aca="false">LOOKUP($A352,peticiones!$C$2:$C$999,peticiones!F$2:F$999)</f>
        <v>0</v>
      </c>
      <c r="D352" s="1" t="n">
        <f aca="false">LOOKUP($A352,peticiones!$C$2:$C$999,peticiones!G$2:G$999)</f>
        <v>0</v>
      </c>
      <c r="E352" s="1"/>
      <c r="F352" s="1"/>
      <c r="G352" s="1"/>
      <c r="H352" s="1"/>
      <c r="I352" s="1"/>
      <c r="J352" s="1"/>
      <c r="K352" s="1"/>
      <c r="L352" s="1"/>
      <c r="M352" s="16"/>
      <c r="N352" s="16"/>
      <c r="O352" s="16"/>
      <c r="P352" s="16"/>
      <c r="Q352" s="17"/>
    </row>
    <row r="353" customFormat="false" ht="14.25" hidden="false" customHeight="false" outlineLevel="0" collapsed="false">
      <c r="A353" s="1" t="n">
        <v>138448</v>
      </c>
      <c r="B353" s="1" t="str">
        <f aca="false">LOOKUP($A353,peticiones!$C$2:$C$999,peticiones!E$2:E$999)</f>
        <v>Otras Peticiones ANS</v>
      </c>
      <c r="C353" s="1" t="n">
        <f aca="false">LOOKUP($A353,peticiones!$C$2:$C$999,peticiones!F$2:F$999)</f>
        <v>0</v>
      </c>
      <c r="D353" s="1" t="n">
        <f aca="false">LOOKUP($A353,peticiones!$C$2:$C$999,peticiones!G$2:G$999)</f>
        <v>0</v>
      </c>
      <c r="E353" s="1"/>
      <c r="F353" s="1"/>
      <c r="G353" s="1"/>
      <c r="H353" s="1"/>
      <c r="I353" s="1"/>
      <c r="J353" s="1"/>
      <c r="K353" s="1"/>
      <c r="L353" s="1"/>
      <c r="M353" s="16"/>
      <c r="N353" s="16"/>
      <c r="O353" s="16"/>
      <c r="P353" s="16"/>
      <c r="Q353" s="17"/>
    </row>
    <row r="354" customFormat="false" ht="14.25" hidden="false" customHeight="false" outlineLevel="0" collapsed="false">
      <c r="A354" s="1" t="n">
        <v>138449</v>
      </c>
      <c r="B354" s="1" t="str">
        <f aca="false">LOOKUP($A354,peticiones!$C$2:$C$999,peticiones!E$2:E$999)</f>
        <v>Otras Peticiones ANS</v>
      </c>
      <c r="C354" s="1" t="n">
        <f aca="false">LOOKUP($A354,peticiones!$C$2:$C$999,peticiones!F$2:F$999)</f>
        <v>0</v>
      </c>
      <c r="D354" s="1" t="n">
        <f aca="false">LOOKUP($A354,peticiones!$C$2:$C$999,peticiones!G$2:G$999)</f>
        <v>0</v>
      </c>
      <c r="E354" s="1"/>
      <c r="F354" s="1"/>
      <c r="G354" s="1"/>
      <c r="H354" s="1"/>
      <c r="I354" s="1"/>
      <c r="J354" s="1"/>
      <c r="K354" s="1"/>
      <c r="L354" s="1"/>
      <c r="M354" s="16"/>
      <c r="N354" s="16"/>
      <c r="O354" s="16"/>
      <c r="P354" s="16"/>
      <c r="Q354" s="17"/>
    </row>
    <row r="355" customFormat="false" ht="14.25" hidden="false" customHeight="false" outlineLevel="0" collapsed="false">
      <c r="A355" s="1" t="n">
        <v>138450</v>
      </c>
      <c r="B355" s="1" t="str">
        <f aca="false">LOOKUP($A355,peticiones!$C$2:$C$999,peticiones!E$2:E$999)</f>
        <v>Otras Peticiones ANS</v>
      </c>
      <c r="C355" s="1" t="n">
        <f aca="false">LOOKUP($A355,peticiones!$C$2:$C$999,peticiones!F$2:F$999)</f>
        <v>0</v>
      </c>
      <c r="D355" s="1" t="n">
        <f aca="false">LOOKUP($A355,peticiones!$C$2:$C$999,peticiones!G$2:G$999)</f>
        <v>0</v>
      </c>
      <c r="E355" s="1"/>
      <c r="F355" s="1"/>
      <c r="G355" s="1"/>
      <c r="H355" s="1"/>
      <c r="I355" s="1"/>
      <c r="J355" s="1"/>
      <c r="K355" s="1"/>
      <c r="L355" s="1"/>
      <c r="M355" s="16"/>
      <c r="N355" s="16"/>
      <c r="O355" s="16"/>
      <c r="P355" s="16"/>
      <c r="Q355" s="17"/>
    </row>
    <row r="356" customFormat="false" ht="14.25" hidden="false" customHeight="false" outlineLevel="0" collapsed="false">
      <c r="A356" s="1" t="n">
        <v>138454</v>
      </c>
      <c r="B356" s="1" t="str">
        <f aca="false">LOOKUP($A356,peticiones!$C$2:$C$999,peticiones!E$2:E$999)</f>
        <v>Otras Peticiones ANS</v>
      </c>
      <c r="C356" s="1" t="n">
        <f aca="false">LOOKUP($A356,peticiones!$C$2:$C$999,peticiones!F$2:F$999)</f>
        <v>0</v>
      </c>
      <c r="D356" s="1" t="n">
        <f aca="false">LOOKUP($A356,peticiones!$C$2:$C$999,peticiones!G$2:G$999)</f>
        <v>0</v>
      </c>
      <c r="E356" s="1"/>
      <c r="F356" s="1"/>
      <c r="G356" s="1"/>
      <c r="H356" s="1"/>
      <c r="I356" s="1"/>
      <c r="J356" s="1"/>
      <c r="K356" s="1"/>
      <c r="L356" s="1"/>
      <c r="M356" s="16"/>
      <c r="N356" s="16"/>
      <c r="O356" s="16"/>
      <c r="P356" s="16"/>
      <c r="Q356" s="17"/>
    </row>
    <row r="357" customFormat="false" ht="14.25" hidden="false" customHeight="false" outlineLevel="0" collapsed="false">
      <c r="A357" s="1" t="n">
        <v>138493</v>
      </c>
      <c r="B357" s="1" t="str">
        <f aca="false">LOOKUP($A357,peticiones!$C$2:$C$999,peticiones!E$2:E$999)</f>
        <v>Otras Peticiones ANS</v>
      </c>
      <c r="C357" s="1" t="n">
        <f aca="false">LOOKUP($A357,peticiones!$C$2:$C$999,peticiones!F$2:F$999)</f>
        <v>0</v>
      </c>
      <c r="D357" s="1" t="n">
        <f aca="false">LOOKUP($A357,peticiones!$C$2:$C$999,peticiones!G$2:G$999)</f>
        <v>0</v>
      </c>
      <c r="E357" s="1"/>
      <c r="F357" s="1"/>
      <c r="G357" s="1"/>
      <c r="H357" s="1"/>
      <c r="I357" s="1"/>
      <c r="J357" s="1"/>
      <c r="K357" s="1"/>
      <c r="L357" s="1"/>
      <c r="M357" s="16"/>
      <c r="N357" s="16"/>
      <c r="O357" s="16"/>
      <c r="P357" s="16"/>
      <c r="Q357" s="17"/>
    </row>
    <row r="358" customFormat="false" ht="14.25" hidden="false" customHeight="false" outlineLevel="0" collapsed="false">
      <c r="A358" s="1" t="n">
        <v>138546</v>
      </c>
      <c r="B358" s="1" t="str">
        <f aca="false">LOOKUP($A358,peticiones!$C$2:$C$999,peticiones!E$2:E$999)</f>
        <v>Otras Peticiones ANS</v>
      </c>
      <c r="C358" s="1" t="n">
        <f aca="false">LOOKUP($A358,peticiones!$C$2:$C$999,peticiones!F$2:F$999)</f>
        <v>0</v>
      </c>
      <c r="D358" s="1" t="n">
        <f aca="false">LOOKUP($A358,peticiones!$C$2:$C$999,peticiones!G$2:G$999)</f>
        <v>0</v>
      </c>
      <c r="E358" s="1"/>
      <c r="F358" s="1"/>
      <c r="G358" s="1"/>
      <c r="H358" s="1"/>
      <c r="I358" s="1"/>
      <c r="J358" s="1"/>
      <c r="K358" s="1"/>
      <c r="L358" s="1"/>
      <c r="M358" s="16"/>
      <c r="N358" s="16"/>
      <c r="O358" s="16"/>
      <c r="P358" s="16"/>
      <c r="Q358" s="17"/>
    </row>
    <row r="359" customFormat="false" ht="14.25" hidden="false" customHeight="false" outlineLevel="0" collapsed="false">
      <c r="A359" s="1" t="n">
        <v>138573</v>
      </c>
      <c r="B359" s="1" t="str">
        <f aca="false">LOOKUP($A359,peticiones!$C$2:$C$999,peticiones!E$2:E$999)</f>
        <v>Otras Peticiones ANS</v>
      </c>
      <c r="C359" s="1" t="n">
        <f aca="false">LOOKUP($A359,peticiones!$C$2:$C$999,peticiones!F$2:F$999)</f>
        <v>0</v>
      </c>
      <c r="D359" s="1" t="n">
        <f aca="false">LOOKUP($A359,peticiones!$C$2:$C$999,peticiones!G$2:G$999)</f>
        <v>0</v>
      </c>
      <c r="E359" s="1"/>
      <c r="F359" s="1"/>
      <c r="G359" s="1"/>
      <c r="H359" s="1"/>
      <c r="I359" s="1"/>
      <c r="J359" s="1"/>
      <c r="K359" s="1"/>
      <c r="L359" s="1"/>
      <c r="M359" s="16"/>
      <c r="N359" s="16"/>
      <c r="O359" s="16"/>
      <c r="P359" s="16"/>
      <c r="Q359" s="17"/>
    </row>
    <row r="360" customFormat="false" ht="14.25" hidden="false" customHeight="false" outlineLevel="0" collapsed="false">
      <c r="A360" s="1" t="n">
        <v>138593</v>
      </c>
      <c r="B360" s="1" t="str">
        <f aca="false">LOOKUP($A360,peticiones!$C$2:$C$999,peticiones!E$2:E$999)</f>
        <v>Otras Peticiones ANS</v>
      </c>
      <c r="C360" s="1" t="n">
        <f aca="false">LOOKUP($A360,peticiones!$C$2:$C$999,peticiones!F$2:F$999)</f>
        <v>0</v>
      </c>
      <c r="D360" s="1" t="n">
        <f aca="false">LOOKUP($A360,peticiones!$C$2:$C$999,peticiones!G$2:G$999)</f>
        <v>0</v>
      </c>
      <c r="E360" s="1"/>
      <c r="F360" s="1"/>
      <c r="G360" s="1"/>
      <c r="H360" s="1"/>
      <c r="I360" s="1"/>
      <c r="J360" s="1"/>
      <c r="K360" s="1"/>
      <c r="L360" s="1"/>
      <c r="M360" s="16"/>
      <c r="N360" s="16"/>
      <c r="O360" s="16"/>
      <c r="P360" s="16"/>
      <c r="Q360" s="17"/>
    </row>
    <row r="361" customFormat="false" ht="14.25" hidden="false" customHeight="false" outlineLevel="0" collapsed="false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6"/>
      <c r="N361" s="16"/>
      <c r="O361" s="16"/>
      <c r="P361" s="16"/>
      <c r="Q361" s="17"/>
    </row>
    <row r="362" customFormat="false" ht="14.25" hidden="false" customHeight="false" outlineLevel="0" collapsed="false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6"/>
      <c r="N362" s="16"/>
      <c r="O362" s="16"/>
      <c r="P362" s="16"/>
      <c r="Q362" s="17"/>
    </row>
    <row r="363" customFormat="false" ht="14.25" hidden="false" customHeight="false" outlineLevel="0" collapsed="false">
      <c r="A363" s="1" t="n">
        <v>138606</v>
      </c>
      <c r="B363" s="1" t="str">
        <f aca="false">LOOKUP($A363,peticiones!$C$2:$C$999,peticiones!E$2:E$999)</f>
        <v>Otras Peticiones ANS</v>
      </c>
      <c r="C363" s="1" t="n">
        <f aca="false">LOOKUP($A363,peticiones!$C$2:$C$999,peticiones!F$2:F$999)</f>
        <v>0</v>
      </c>
      <c r="D363" s="1" t="n">
        <f aca="false">LOOKUP($A363,peticiones!$C$2:$C$999,peticiones!G$2:G$999)</f>
        <v>0</v>
      </c>
      <c r="E363" s="1"/>
      <c r="F363" s="1"/>
      <c r="G363" s="1"/>
      <c r="H363" s="1"/>
      <c r="I363" s="1"/>
      <c r="J363" s="1"/>
      <c r="K363" s="1"/>
      <c r="L363" s="1"/>
      <c r="M363" s="16"/>
      <c r="N363" s="16"/>
      <c r="O363" s="16"/>
      <c r="P363" s="16"/>
      <c r="Q363" s="17"/>
    </row>
    <row r="364" customFormat="false" ht="14.25" hidden="false" customHeight="false" outlineLevel="0" collapsed="false">
      <c r="A364" s="1" t="n">
        <v>138620</v>
      </c>
      <c r="B364" s="1" t="str">
        <f aca="false">LOOKUP($A364,peticiones!$C$2:$C$999,peticiones!E$2:E$999)</f>
        <v>Otras Peticiones ANS</v>
      </c>
      <c r="C364" s="1" t="n">
        <f aca="false">LOOKUP($A364,peticiones!$C$2:$C$999,peticiones!F$2:F$999)</f>
        <v>0</v>
      </c>
      <c r="D364" s="1" t="n">
        <f aca="false">LOOKUP($A364,peticiones!$C$2:$C$999,peticiones!G$2:G$999)</f>
        <v>0</v>
      </c>
      <c r="E364" s="1"/>
      <c r="F364" s="1"/>
      <c r="G364" s="1"/>
      <c r="H364" s="1"/>
      <c r="I364" s="1"/>
      <c r="J364" s="1"/>
      <c r="K364" s="1"/>
      <c r="L364" s="1"/>
      <c r="M364" s="16"/>
      <c r="N364" s="16"/>
      <c r="O364" s="16"/>
      <c r="P364" s="16"/>
      <c r="Q364" s="17"/>
    </row>
    <row r="365" customFormat="false" ht="14.25" hidden="false" customHeight="false" outlineLevel="0" collapsed="false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6"/>
      <c r="N365" s="16"/>
      <c r="O365" s="16"/>
      <c r="P365" s="16"/>
      <c r="Q365" s="17"/>
    </row>
    <row r="366" customFormat="false" ht="14.25" hidden="false" customHeight="false" outlineLevel="0" collapsed="false">
      <c r="A366" s="1" t="n">
        <v>138700</v>
      </c>
      <c r="B366" s="1" t="str">
        <f aca="false">LOOKUP($A366,peticiones!$C$2:$C$999,peticiones!E$2:E$999)</f>
        <v>Otras Peticiones ANS</v>
      </c>
      <c r="C366" s="1" t="n">
        <f aca="false">LOOKUP($A366,peticiones!$C$2:$C$999,peticiones!F$2:F$999)</f>
        <v>0</v>
      </c>
      <c r="D366" s="1" t="n">
        <f aca="false">LOOKUP($A366,peticiones!$C$2:$C$999,peticiones!G$2:G$999)</f>
        <v>0</v>
      </c>
      <c r="E366" s="1"/>
      <c r="F366" s="1"/>
      <c r="G366" s="1"/>
      <c r="H366" s="1"/>
      <c r="I366" s="1"/>
      <c r="J366" s="1"/>
      <c r="K366" s="1"/>
      <c r="L366" s="1"/>
      <c r="M366" s="16"/>
      <c r="N366" s="16"/>
      <c r="O366" s="16"/>
      <c r="P366" s="16"/>
      <c r="Q366" s="17"/>
    </row>
    <row r="367" customFormat="false" ht="14.25" hidden="false" customHeight="false" outlineLevel="0" collapsed="false">
      <c r="A367" s="1" t="n">
        <v>138704</v>
      </c>
      <c r="B367" s="1" t="str">
        <f aca="false">LOOKUP($A367,peticiones!$C$2:$C$999,peticiones!E$2:E$999)</f>
        <v>Otras Peticiones ANS</v>
      </c>
      <c r="C367" s="1" t="n">
        <f aca="false">LOOKUP($A367,peticiones!$C$2:$C$999,peticiones!F$2:F$999)</f>
        <v>0</v>
      </c>
      <c r="D367" s="1" t="n">
        <f aca="false">LOOKUP($A367,peticiones!$C$2:$C$999,peticiones!G$2:G$999)</f>
        <v>0</v>
      </c>
      <c r="E367" s="1"/>
      <c r="F367" s="1"/>
      <c r="G367" s="1"/>
      <c r="H367" s="1"/>
      <c r="I367" s="1"/>
      <c r="J367" s="1"/>
      <c r="K367" s="1"/>
      <c r="L367" s="1"/>
      <c r="M367" s="16"/>
      <c r="N367" s="16"/>
      <c r="O367" s="16"/>
      <c r="P367" s="16"/>
      <c r="Q367" s="17"/>
    </row>
    <row r="368" customFormat="false" ht="14.25" hidden="false" customHeight="false" outlineLevel="0" collapsed="false">
      <c r="A368" s="1" t="n">
        <v>138712</v>
      </c>
      <c r="B368" s="1" t="str">
        <f aca="false">LOOKUP($A368,peticiones!$C$2:$C$999,peticiones!E$2:E$999)</f>
        <v>Otras Peticiones ANS</v>
      </c>
      <c r="C368" s="1" t="n">
        <f aca="false">LOOKUP($A368,peticiones!$C$2:$C$999,peticiones!F$2:F$999)</f>
        <v>0</v>
      </c>
      <c r="D368" s="1" t="n">
        <f aca="false">LOOKUP($A368,peticiones!$C$2:$C$999,peticiones!G$2:G$999)</f>
        <v>0</v>
      </c>
      <c r="E368" s="1"/>
      <c r="F368" s="1"/>
      <c r="G368" s="1"/>
      <c r="H368" s="1"/>
      <c r="I368" s="1"/>
      <c r="J368" s="1"/>
      <c r="K368" s="1"/>
      <c r="L368" s="1"/>
      <c r="M368" s="16"/>
      <c r="N368" s="16"/>
      <c r="O368" s="16"/>
      <c r="P368" s="16"/>
      <c r="Q368" s="17"/>
    </row>
    <row r="369" customFormat="false" ht="14.25" hidden="false" customHeight="false" outlineLevel="0" collapsed="false">
      <c r="A369" s="1" t="n">
        <v>138723</v>
      </c>
      <c r="B369" s="1" t="str">
        <f aca="false">LOOKUP($A369,peticiones!$C$2:$C$999,peticiones!E$2:E$999)</f>
        <v>Otras Peticiones ANS</v>
      </c>
      <c r="C369" s="1" t="n">
        <f aca="false">LOOKUP($A369,peticiones!$C$2:$C$999,peticiones!F$2:F$999)</f>
        <v>0</v>
      </c>
      <c r="D369" s="1" t="n">
        <f aca="false">LOOKUP($A369,peticiones!$C$2:$C$999,peticiones!G$2:G$999)</f>
        <v>0</v>
      </c>
      <c r="E369" s="1"/>
      <c r="F369" s="1"/>
      <c r="G369" s="1"/>
      <c r="H369" s="1"/>
      <c r="I369" s="1"/>
      <c r="J369" s="1"/>
      <c r="K369" s="1"/>
      <c r="L369" s="1"/>
      <c r="M369" s="16"/>
      <c r="N369" s="16"/>
      <c r="O369" s="16"/>
      <c r="P369" s="16"/>
      <c r="Q369" s="17"/>
    </row>
    <row r="370" customFormat="false" ht="14.25" hidden="false" customHeight="false" outlineLevel="0" collapsed="false">
      <c r="A370" s="1" t="n">
        <v>138729</v>
      </c>
      <c r="B370" s="1" t="str">
        <f aca="false">LOOKUP($A370,peticiones!$C$2:$C$999,peticiones!E$2:E$999)</f>
        <v>Otras Peticiones ANS</v>
      </c>
      <c r="C370" s="1" t="n">
        <f aca="false">LOOKUP($A370,peticiones!$C$2:$C$999,peticiones!F$2:F$999)</f>
        <v>0</v>
      </c>
      <c r="D370" s="1" t="n">
        <f aca="false">LOOKUP($A370,peticiones!$C$2:$C$999,peticiones!G$2:G$999)</f>
        <v>0</v>
      </c>
      <c r="E370" s="1"/>
      <c r="F370" s="1"/>
      <c r="G370" s="1"/>
      <c r="H370" s="1"/>
      <c r="I370" s="1"/>
      <c r="J370" s="1"/>
      <c r="K370" s="1"/>
      <c r="L370" s="1"/>
      <c r="M370" s="16"/>
      <c r="N370" s="16"/>
      <c r="O370" s="16"/>
      <c r="P370" s="16"/>
      <c r="Q370" s="17"/>
    </row>
    <row r="371" customFormat="false" ht="14.25" hidden="false" customHeight="false" outlineLevel="0" collapsed="false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6"/>
      <c r="N371" s="16"/>
      <c r="O371" s="16"/>
      <c r="P371" s="16"/>
      <c r="Q371" s="17"/>
    </row>
    <row r="372" customFormat="false" ht="14.25" hidden="false" customHeight="false" outlineLevel="0" collapsed="false">
      <c r="A372" s="1" t="n">
        <v>138754</v>
      </c>
      <c r="B372" s="1" t="str">
        <f aca="false">LOOKUP($A372,peticiones!$C$2:$C$999,peticiones!E$2:E$999)</f>
        <v>Otras Peticiones ANS</v>
      </c>
      <c r="C372" s="1" t="n">
        <f aca="false">LOOKUP($A372,peticiones!$C$2:$C$999,peticiones!F$2:F$999)</f>
        <v>0</v>
      </c>
      <c r="D372" s="1" t="n">
        <f aca="false">LOOKUP($A372,peticiones!$C$2:$C$999,peticiones!G$2:G$999)</f>
        <v>0</v>
      </c>
      <c r="E372" s="1"/>
      <c r="F372" s="1"/>
      <c r="G372" s="1"/>
      <c r="H372" s="1"/>
      <c r="I372" s="1"/>
      <c r="J372" s="1"/>
      <c r="K372" s="1"/>
      <c r="L372" s="1"/>
      <c r="M372" s="16"/>
      <c r="N372" s="16"/>
      <c r="O372" s="16"/>
      <c r="P372" s="16"/>
      <c r="Q372" s="17"/>
    </row>
    <row r="373" customFormat="false" ht="14.25" hidden="false" customHeight="false" outlineLevel="0" collapsed="false">
      <c r="A373" s="1" t="n">
        <v>138755</v>
      </c>
      <c r="B373" s="1" t="str">
        <f aca="false">LOOKUP($A373,peticiones!$C$2:$C$999,peticiones!E$2:E$999)</f>
        <v>Otras Peticiones ANS</v>
      </c>
      <c r="C373" s="1" t="n">
        <f aca="false">LOOKUP($A373,peticiones!$C$2:$C$999,peticiones!F$2:F$999)</f>
        <v>0</v>
      </c>
      <c r="D373" s="1" t="n">
        <f aca="false">LOOKUP($A373,peticiones!$C$2:$C$999,peticiones!G$2:G$999)</f>
        <v>0</v>
      </c>
      <c r="E373" s="1"/>
      <c r="F373" s="1"/>
      <c r="G373" s="1"/>
      <c r="H373" s="1"/>
      <c r="I373" s="1"/>
      <c r="J373" s="1"/>
      <c r="K373" s="1"/>
      <c r="L373" s="1"/>
      <c r="M373" s="16"/>
      <c r="N373" s="16"/>
      <c r="O373" s="16"/>
      <c r="P373" s="16"/>
      <c r="Q373" s="17"/>
    </row>
    <row r="374" customFormat="false" ht="14.25" hidden="false" customHeight="false" outlineLevel="0" collapsed="false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6"/>
      <c r="N374" s="16"/>
      <c r="O374" s="16"/>
      <c r="P374" s="16"/>
      <c r="Q374" s="17"/>
    </row>
    <row r="375" customFormat="false" ht="14.25" hidden="false" customHeight="false" outlineLevel="0" collapsed="false">
      <c r="A375" s="1" t="n">
        <v>138768</v>
      </c>
      <c r="B375" s="1" t="str">
        <f aca="false">LOOKUP($A375,peticiones!$C$2:$C$999,peticiones!E$2:E$999)</f>
        <v>Otras Peticiones ANS</v>
      </c>
      <c r="C375" s="1" t="n">
        <f aca="false">LOOKUP($A375,peticiones!$C$2:$C$999,peticiones!F$2:F$999)</f>
        <v>0</v>
      </c>
      <c r="D375" s="1" t="n">
        <f aca="false">LOOKUP($A375,peticiones!$C$2:$C$999,peticiones!G$2:G$999)</f>
        <v>0</v>
      </c>
      <c r="E375" s="1"/>
      <c r="F375" s="1"/>
      <c r="G375" s="1"/>
      <c r="H375" s="1"/>
      <c r="I375" s="1"/>
      <c r="J375" s="1"/>
      <c r="K375" s="1"/>
      <c r="L375" s="1"/>
      <c r="M375" s="16"/>
      <c r="N375" s="16"/>
      <c r="O375" s="16"/>
      <c r="P375" s="16"/>
      <c r="Q375" s="17"/>
    </row>
    <row r="376" customFormat="false" ht="14.25" hidden="false" customHeight="false" outlineLevel="0" collapsed="false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6"/>
      <c r="N376" s="16"/>
      <c r="O376" s="16"/>
      <c r="P376" s="16"/>
      <c r="Q376" s="17"/>
    </row>
    <row r="377" customFormat="false" ht="14.25" hidden="false" customHeight="false" outlineLevel="0" collapsed="false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6"/>
      <c r="N377" s="16"/>
      <c r="O377" s="16"/>
      <c r="P377" s="16"/>
      <c r="Q377" s="17"/>
    </row>
    <row r="378" customFormat="false" ht="14.25" hidden="false" customHeight="false" outlineLevel="0" collapsed="false">
      <c r="A378" s="1" t="n">
        <v>138782</v>
      </c>
      <c r="B378" s="1" t="str">
        <f aca="false">LOOKUP($A378,peticiones!$C$2:$C$999,peticiones!E$2:E$999)</f>
        <v>Otras Peticiones ANS</v>
      </c>
      <c r="C378" s="1" t="n">
        <f aca="false">LOOKUP($A378,peticiones!$C$2:$C$999,peticiones!F$2:F$999)</f>
        <v>0</v>
      </c>
      <c r="D378" s="1" t="n">
        <f aca="false">LOOKUP($A378,peticiones!$C$2:$C$999,peticiones!G$2:G$999)</f>
        <v>0</v>
      </c>
      <c r="E378" s="1"/>
      <c r="F378" s="1"/>
      <c r="G378" s="1"/>
      <c r="H378" s="1"/>
      <c r="I378" s="1"/>
      <c r="J378" s="1"/>
      <c r="K378" s="1"/>
      <c r="L378" s="1"/>
      <c r="M378" s="16"/>
      <c r="N378" s="16"/>
      <c r="O378" s="16"/>
      <c r="P378" s="16"/>
      <c r="Q378" s="17"/>
    </row>
    <row r="379" customFormat="false" ht="14.25" hidden="false" customHeight="false" outlineLevel="0" collapsed="false">
      <c r="A379" s="1" t="n">
        <v>138783</v>
      </c>
      <c r="B379" s="1" t="str">
        <f aca="false">LOOKUP($A379,peticiones!$C$2:$C$999,peticiones!E$2:E$999)</f>
        <v>Otras Peticiones ANS</v>
      </c>
      <c r="C379" s="1" t="n">
        <f aca="false">LOOKUP($A379,peticiones!$C$2:$C$999,peticiones!F$2:F$999)</f>
        <v>0</v>
      </c>
      <c r="D379" s="1" t="n">
        <f aca="false">LOOKUP($A379,peticiones!$C$2:$C$999,peticiones!G$2:G$999)</f>
        <v>0</v>
      </c>
      <c r="E379" s="1"/>
      <c r="F379" s="1"/>
      <c r="G379" s="1"/>
      <c r="H379" s="1"/>
      <c r="I379" s="1"/>
      <c r="J379" s="1"/>
      <c r="K379" s="1"/>
      <c r="L379" s="1"/>
      <c r="M379" s="16"/>
      <c r="N379" s="16"/>
      <c r="O379" s="16"/>
      <c r="P379" s="16"/>
      <c r="Q379" s="17"/>
    </row>
    <row r="380" customFormat="false" ht="14.25" hidden="false" customHeight="false" outlineLevel="0" collapsed="false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6"/>
      <c r="N380" s="16"/>
      <c r="O380" s="16"/>
      <c r="P380" s="16"/>
      <c r="Q380" s="17"/>
    </row>
    <row r="381" customFormat="false" ht="14.25" hidden="false" customHeight="false" outlineLevel="0" collapsed="false">
      <c r="A381" s="1" t="n">
        <v>138787</v>
      </c>
      <c r="B381" s="1" t="str">
        <f aca="false">LOOKUP($A381,peticiones!$C$2:$C$999,peticiones!E$2:E$999)</f>
        <v>Otras Peticiones ANS</v>
      </c>
      <c r="C381" s="1" t="n">
        <f aca="false">LOOKUP($A381,peticiones!$C$2:$C$999,peticiones!F$2:F$999)</f>
        <v>0</v>
      </c>
      <c r="D381" s="1" t="n">
        <f aca="false">LOOKUP($A381,peticiones!$C$2:$C$999,peticiones!G$2:G$999)</f>
        <v>0</v>
      </c>
      <c r="E381" s="1"/>
      <c r="F381" s="1"/>
      <c r="G381" s="1"/>
      <c r="H381" s="1"/>
      <c r="I381" s="1"/>
      <c r="J381" s="1"/>
      <c r="K381" s="1"/>
      <c r="L381" s="1"/>
      <c r="M381" s="16"/>
      <c r="N381" s="16"/>
      <c r="O381" s="16"/>
      <c r="P381" s="16"/>
      <c r="Q381" s="17"/>
    </row>
    <row r="382" customFormat="false" ht="14.25" hidden="false" customHeight="false" outlineLevel="0" collapsed="false">
      <c r="A382" s="1" t="n">
        <v>138795</v>
      </c>
      <c r="B382" s="1" t="str">
        <f aca="false">LOOKUP($A382,peticiones!$C$2:$C$999,peticiones!E$2:E$999)</f>
        <v>Otras Peticiones ANS</v>
      </c>
      <c r="C382" s="1" t="n">
        <f aca="false">LOOKUP($A382,peticiones!$C$2:$C$999,peticiones!F$2:F$999)</f>
        <v>0</v>
      </c>
      <c r="D382" s="1" t="n">
        <f aca="false">LOOKUP($A382,peticiones!$C$2:$C$999,peticiones!G$2:G$999)</f>
        <v>0</v>
      </c>
      <c r="E382" s="1"/>
      <c r="F382" s="1"/>
      <c r="G382" s="1"/>
      <c r="H382" s="1"/>
      <c r="I382" s="1"/>
      <c r="J382" s="1"/>
      <c r="K382" s="1"/>
      <c r="L382" s="1"/>
      <c r="M382" s="16"/>
      <c r="N382" s="16"/>
      <c r="O382" s="16"/>
      <c r="P382" s="16"/>
      <c r="Q382" s="17"/>
    </row>
    <row r="383" customFormat="false" ht="14.25" hidden="false" customHeight="false" outlineLevel="0" collapsed="false">
      <c r="A383" s="1" t="n">
        <v>138803</v>
      </c>
      <c r="B383" s="1" t="str">
        <f aca="false">LOOKUP($A383,peticiones!$C$2:$C$999,peticiones!E$2:E$999)</f>
        <v>Otras Peticiones ANS</v>
      </c>
      <c r="C383" s="1" t="n">
        <f aca="false">LOOKUP($A383,peticiones!$C$2:$C$999,peticiones!F$2:F$999)</f>
        <v>0</v>
      </c>
      <c r="D383" s="1" t="n">
        <f aca="false">LOOKUP($A383,peticiones!$C$2:$C$999,peticiones!G$2:G$999)</f>
        <v>0</v>
      </c>
      <c r="E383" s="1"/>
      <c r="F383" s="1"/>
      <c r="G383" s="1"/>
      <c r="H383" s="1"/>
      <c r="I383" s="1"/>
      <c r="J383" s="1"/>
      <c r="K383" s="1"/>
      <c r="L383" s="1"/>
      <c r="M383" s="16"/>
      <c r="N383" s="16"/>
      <c r="O383" s="16"/>
      <c r="P383" s="16"/>
      <c r="Q383" s="17"/>
    </row>
    <row r="384" customFormat="false" ht="14.25" hidden="false" customHeight="false" outlineLevel="0" collapsed="false">
      <c r="A384" s="1" t="n">
        <v>138810</v>
      </c>
      <c r="B384" s="1" t="str">
        <f aca="false">LOOKUP($A384,peticiones!$C$2:$C$999,peticiones!E$2:E$999)</f>
        <v>Otras Peticiones ANS</v>
      </c>
      <c r="C384" s="1" t="n">
        <f aca="false">LOOKUP($A384,peticiones!$C$2:$C$999,peticiones!F$2:F$999)</f>
        <v>0</v>
      </c>
      <c r="D384" s="1" t="n">
        <f aca="false">LOOKUP($A384,peticiones!$C$2:$C$999,peticiones!G$2:G$999)</f>
        <v>0</v>
      </c>
      <c r="E384" s="1"/>
      <c r="F384" s="1"/>
      <c r="G384" s="1"/>
      <c r="H384" s="1"/>
      <c r="I384" s="1"/>
      <c r="J384" s="1"/>
      <c r="K384" s="1"/>
      <c r="L384" s="1"/>
      <c r="M384" s="16"/>
      <c r="N384" s="16"/>
      <c r="O384" s="16"/>
      <c r="P384" s="16"/>
      <c r="Q384" s="17"/>
    </row>
    <row r="385" customFormat="false" ht="14.25" hidden="false" customHeight="false" outlineLevel="0" collapsed="false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6"/>
      <c r="N385" s="16"/>
      <c r="O385" s="16"/>
      <c r="P385" s="16"/>
      <c r="Q385" s="17"/>
    </row>
    <row r="386" customFormat="false" ht="14.25" hidden="false" customHeight="false" outlineLevel="0" collapsed="false">
      <c r="A386" s="1" t="n">
        <v>138830</v>
      </c>
      <c r="B386" s="1" t="str">
        <f aca="false">LOOKUP($A386,peticiones!$C$2:$C$999,peticiones!E$2:E$999)</f>
        <v>Otras Peticiones ANS</v>
      </c>
      <c r="C386" s="1" t="n">
        <f aca="false">LOOKUP($A386,peticiones!$C$2:$C$999,peticiones!F$2:F$999)</f>
        <v>0</v>
      </c>
      <c r="D386" s="1" t="n">
        <f aca="false">LOOKUP($A386,peticiones!$C$2:$C$999,peticiones!G$2:G$999)</f>
        <v>0</v>
      </c>
      <c r="E386" s="1"/>
      <c r="F386" s="1"/>
      <c r="G386" s="1"/>
      <c r="H386" s="1"/>
      <c r="I386" s="1"/>
      <c r="J386" s="1"/>
      <c r="K386" s="1"/>
      <c r="L386" s="1"/>
      <c r="M386" s="16"/>
      <c r="N386" s="16"/>
      <c r="O386" s="16"/>
      <c r="P386" s="16"/>
      <c r="Q386" s="17"/>
    </row>
    <row r="387" customFormat="false" ht="14.25" hidden="false" customHeight="false" outlineLevel="0" collapsed="false">
      <c r="A387" s="1" t="n">
        <v>138831</v>
      </c>
      <c r="B387" s="1" t="str">
        <f aca="false">LOOKUP($A387,peticiones!$C$2:$C$999,peticiones!E$2:E$999)</f>
        <v>Otras Peticiones ANS</v>
      </c>
      <c r="C387" s="1" t="n">
        <f aca="false">LOOKUP($A387,peticiones!$C$2:$C$999,peticiones!F$2:F$999)</f>
        <v>0</v>
      </c>
      <c r="D387" s="1" t="n">
        <f aca="false">LOOKUP($A387,peticiones!$C$2:$C$999,peticiones!G$2:G$999)</f>
        <v>0</v>
      </c>
      <c r="E387" s="1"/>
      <c r="F387" s="1"/>
      <c r="G387" s="1"/>
      <c r="H387" s="1"/>
      <c r="I387" s="1"/>
      <c r="J387" s="1"/>
      <c r="K387" s="1"/>
      <c r="L387" s="1"/>
      <c r="M387" s="16"/>
      <c r="N387" s="16"/>
      <c r="O387" s="16"/>
      <c r="P387" s="16"/>
      <c r="Q387" s="17"/>
    </row>
    <row r="388" customFormat="false" ht="14.25" hidden="false" customHeight="false" outlineLevel="0" collapsed="false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6"/>
      <c r="N388" s="16"/>
      <c r="O388" s="16"/>
      <c r="P388" s="16"/>
      <c r="Q388" s="17"/>
    </row>
    <row r="389" customFormat="false" ht="14.25" hidden="false" customHeight="false" outlineLevel="0" collapsed="false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6"/>
      <c r="N389" s="16"/>
      <c r="O389" s="16"/>
      <c r="P389" s="16"/>
      <c r="Q389" s="17"/>
    </row>
    <row r="390" customFormat="false" ht="14.25" hidden="false" customHeight="false" outlineLevel="0" collapsed="false">
      <c r="A390" s="1" t="n">
        <v>138865</v>
      </c>
      <c r="B390" s="1" t="str">
        <f aca="false">LOOKUP($A390,peticiones!$C$2:$C$999,peticiones!E$2:E$999)</f>
        <v>Otras Peticiones ANS</v>
      </c>
      <c r="C390" s="1" t="n">
        <f aca="false">LOOKUP($A390,peticiones!$C$2:$C$999,peticiones!F$2:F$999)</f>
        <v>0</v>
      </c>
      <c r="D390" s="1" t="n">
        <f aca="false">LOOKUP($A390,peticiones!$C$2:$C$999,peticiones!G$2:G$999)</f>
        <v>0</v>
      </c>
      <c r="E390" s="1"/>
      <c r="F390" s="1"/>
      <c r="G390" s="1"/>
      <c r="H390" s="1"/>
      <c r="I390" s="1"/>
      <c r="J390" s="1"/>
      <c r="K390" s="1"/>
      <c r="L390" s="1"/>
      <c r="M390" s="16"/>
      <c r="N390" s="16"/>
      <c r="O390" s="16"/>
      <c r="P390" s="16"/>
      <c r="Q390" s="17"/>
    </row>
    <row r="391" customFormat="false" ht="14.25" hidden="false" customHeight="false" outlineLevel="0" collapsed="false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6"/>
      <c r="N391" s="16"/>
      <c r="O391" s="16"/>
      <c r="P391" s="16"/>
      <c r="Q391" s="17"/>
    </row>
    <row r="392" customFormat="false" ht="14.25" hidden="false" customHeight="false" outlineLevel="0" collapsed="false">
      <c r="A392" s="1" t="n">
        <v>138876</v>
      </c>
      <c r="B392" s="1" t="str">
        <f aca="false">LOOKUP($A392,peticiones!$C$2:$C$999,peticiones!E$2:E$999)</f>
        <v>Otras Peticiones ANS</v>
      </c>
      <c r="C392" s="1" t="n">
        <f aca="false">LOOKUP($A392,peticiones!$C$2:$C$999,peticiones!F$2:F$999)</f>
        <v>0</v>
      </c>
      <c r="D392" s="1" t="n">
        <f aca="false">LOOKUP($A392,peticiones!$C$2:$C$999,peticiones!G$2:G$999)</f>
        <v>0</v>
      </c>
      <c r="E392" s="1"/>
      <c r="F392" s="1"/>
      <c r="G392" s="1"/>
      <c r="H392" s="1"/>
      <c r="I392" s="1"/>
      <c r="J392" s="1"/>
      <c r="K392" s="1"/>
      <c r="L392" s="1"/>
      <c r="M392" s="16"/>
      <c r="N392" s="16"/>
      <c r="O392" s="16"/>
      <c r="P392" s="16"/>
      <c r="Q392" s="17"/>
    </row>
    <row r="393" customFormat="false" ht="14.25" hidden="false" customHeight="false" outlineLevel="0" collapsed="false">
      <c r="A393" s="1" t="n">
        <v>138897</v>
      </c>
      <c r="B393" s="1" t="str">
        <f aca="false">LOOKUP($A393,peticiones!$C$2:$C$999,peticiones!E$2:E$999)</f>
        <v>Otras Peticiones ANS</v>
      </c>
      <c r="C393" s="1" t="n">
        <f aca="false">LOOKUP($A393,peticiones!$C$2:$C$999,peticiones!F$2:F$999)</f>
        <v>0</v>
      </c>
      <c r="D393" s="1" t="n">
        <f aca="false">LOOKUP($A393,peticiones!$C$2:$C$999,peticiones!G$2:G$999)</f>
        <v>0</v>
      </c>
      <c r="E393" s="1"/>
      <c r="F393" s="1"/>
      <c r="G393" s="1"/>
      <c r="H393" s="1"/>
      <c r="I393" s="1"/>
      <c r="J393" s="1"/>
      <c r="K393" s="1"/>
      <c r="L393" s="1"/>
      <c r="M393" s="16"/>
      <c r="N393" s="16"/>
      <c r="O393" s="16"/>
      <c r="P393" s="16"/>
      <c r="Q393" s="17"/>
    </row>
    <row r="394" customFormat="false" ht="14.25" hidden="false" customHeight="false" outlineLevel="0" collapsed="false">
      <c r="A394" s="1" t="n">
        <v>138898</v>
      </c>
      <c r="B394" s="1" t="str">
        <f aca="false">LOOKUP($A394,peticiones!$C$2:$C$999,peticiones!E$2:E$999)</f>
        <v>Otras Peticiones ANS</v>
      </c>
      <c r="C394" s="1" t="n">
        <f aca="false">LOOKUP($A394,peticiones!$C$2:$C$999,peticiones!F$2:F$999)</f>
        <v>0</v>
      </c>
      <c r="D394" s="1" t="n">
        <f aca="false">LOOKUP($A394,peticiones!$C$2:$C$999,peticiones!G$2:G$999)</f>
        <v>0</v>
      </c>
      <c r="E394" s="1"/>
      <c r="F394" s="1"/>
      <c r="G394" s="1"/>
      <c r="H394" s="1"/>
      <c r="I394" s="1"/>
      <c r="J394" s="1"/>
      <c r="K394" s="1"/>
      <c r="L394" s="1"/>
      <c r="M394" s="16"/>
      <c r="N394" s="16"/>
      <c r="O394" s="16"/>
      <c r="P394" s="16"/>
      <c r="Q394" s="17"/>
    </row>
    <row r="395" customFormat="false" ht="14.25" hidden="false" customHeight="false" outlineLevel="0" collapsed="false">
      <c r="A395" s="1" t="n">
        <v>138900</v>
      </c>
      <c r="B395" s="1" t="str">
        <f aca="false">LOOKUP($A395,peticiones!$C$2:$C$999,peticiones!E$2:E$999)</f>
        <v>Otras Peticiones ANS</v>
      </c>
      <c r="C395" s="1" t="n">
        <f aca="false">LOOKUP($A395,peticiones!$C$2:$C$999,peticiones!F$2:F$999)</f>
        <v>0</v>
      </c>
      <c r="D395" s="1" t="n">
        <f aca="false">LOOKUP($A395,peticiones!$C$2:$C$999,peticiones!G$2:G$999)</f>
        <v>0</v>
      </c>
      <c r="E395" s="1"/>
      <c r="F395" s="1"/>
      <c r="G395" s="1"/>
      <c r="H395" s="1"/>
      <c r="I395" s="1"/>
      <c r="J395" s="1"/>
      <c r="K395" s="1"/>
      <c r="L395" s="1"/>
      <c r="M395" s="16"/>
      <c r="N395" s="16"/>
      <c r="O395" s="16"/>
      <c r="P395" s="16"/>
      <c r="Q395" s="17"/>
    </row>
    <row r="396" customFormat="false" ht="14.25" hidden="false" customHeight="false" outlineLevel="0" collapsed="false">
      <c r="A396" s="1" t="n">
        <v>138907</v>
      </c>
      <c r="B396" s="1" t="str">
        <f aca="false">LOOKUP($A396,peticiones!$C$2:$C$999,peticiones!E$2:E$999)</f>
        <v>Otras Peticiones ANS</v>
      </c>
      <c r="C396" s="1" t="n">
        <f aca="false">LOOKUP($A396,peticiones!$C$2:$C$999,peticiones!F$2:F$999)</f>
        <v>0</v>
      </c>
      <c r="D396" s="1" t="n">
        <f aca="false">LOOKUP($A396,peticiones!$C$2:$C$999,peticiones!G$2:G$999)</f>
        <v>0</v>
      </c>
      <c r="E396" s="1"/>
      <c r="F396" s="1"/>
      <c r="G396" s="1"/>
      <c r="H396" s="1"/>
      <c r="I396" s="1"/>
      <c r="J396" s="1"/>
      <c r="K396" s="1"/>
      <c r="L396" s="1"/>
      <c r="M396" s="16"/>
      <c r="N396" s="16"/>
      <c r="O396" s="16"/>
      <c r="P396" s="16"/>
      <c r="Q396" s="17"/>
    </row>
    <row r="397" customFormat="false" ht="14.25" hidden="false" customHeight="false" outlineLevel="0" collapsed="false">
      <c r="A397" s="1" t="n">
        <v>138908</v>
      </c>
      <c r="B397" s="1" t="str">
        <f aca="false">LOOKUP($A397,peticiones!$C$2:$C$999,peticiones!E$2:E$999)</f>
        <v>Otras Peticiones ANS</v>
      </c>
      <c r="C397" s="1" t="n">
        <f aca="false">LOOKUP($A397,peticiones!$C$2:$C$999,peticiones!F$2:F$999)</f>
        <v>0</v>
      </c>
      <c r="D397" s="1" t="n">
        <f aca="false">LOOKUP($A397,peticiones!$C$2:$C$999,peticiones!G$2:G$999)</f>
        <v>0</v>
      </c>
      <c r="E397" s="1"/>
      <c r="F397" s="1"/>
      <c r="G397" s="1"/>
      <c r="H397" s="1"/>
      <c r="I397" s="1"/>
      <c r="J397" s="1"/>
      <c r="K397" s="1"/>
      <c r="L397" s="1"/>
      <c r="M397" s="16"/>
      <c r="N397" s="16"/>
      <c r="O397" s="16"/>
      <c r="P397" s="16"/>
      <c r="Q397" s="17"/>
    </row>
    <row r="398" customFormat="false" ht="14.25" hidden="false" customHeight="false" outlineLevel="0" collapsed="false">
      <c r="A398" s="1" t="n">
        <v>138915</v>
      </c>
      <c r="B398" s="1" t="str">
        <f aca="false">LOOKUP($A398,peticiones!$C$2:$C$999,peticiones!E$2:E$999)</f>
        <v>Otras Peticiones ANS</v>
      </c>
      <c r="C398" s="1" t="n">
        <f aca="false">LOOKUP($A398,peticiones!$C$2:$C$999,peticiones!F$2:F$999)</f>
        <v>0</v>
      </c>
      <c r="D398" s="1" t="n">
        <f aca="false">LOOKUP($A398,peticiones!$C$2:$C$999,peticiones!G$2:G$999)</f>
        <v>0</v>
      </c>
      <c r="E398" s="1"/>
      <c r="F398" s="1"/>
      <c r="G398" s="1"/>
      <c r="H398" s="1"/>
      <c r="I398" s="1"/>
      <c r="J398" s="1"/>
      <c r="K398" s="1"/>
      <c r="L398" s="1"/>
      <c r="M398" s="16"/>
      <c r="N398" s="16"/>
      <c r="O398" s="16"/>
      <c r="P398" s="16"/>
      <c r="Q398" s="17"/>
    </row>
    <row r="399" customFormat="false" ht="14.25" hidden="false" customHeight="false" outlineLevel="0" collapsed="false">
      <c r="A399" s="1" t="n">
        <v>138923</v>
      </c>
      <c r="B399" s="1" t="str">
        <f aca="false">LOOKUP($A399,peticiones!$C$2:$C$999,peticiones!E$2:E$999)</f>
        <v>Otras Peticiones ANS</v>
      </c>
      <c r="C399" s="1" t="n">
        <f aca="false">LOOKUP($A399,peticiones!$C$2:$C$999,peticiones!F$2:F$999)</f>
        <v>0</v>
      </c>
      <c r="D399" s="1" t="n">
        <f aca="false">LOOKUP($A399,peticiones!$C$2:$C$999,peticiones!G$2:G$999)</f>
        <v>0</v>
      </c>
      <c r="E399" s="1"/>
      <c r="F399" s="1"/>
      <c r="G399" s="1"/>
      <c r="H399" s="1"/>
      <c r="I399" s="1"/>
      <c r="J399" s="1"/>
      <c r="K399" s="1"/>
      <c r="L399" s="1"/>
      <c r="M399" s="16"/>
      <c r="N399" s="16"/>
      <c r="O399" s="16"/>
      <c r="P399" s="16"/>
      <c r="Q399" s="17"/>
    </row>
    <row r="400" customFormat="false" ht="14.25" hidden="false" customHeight="false" outlineLevel="0" collapsed="false">
      <c r="A400" s="1" t="n">
        <v>138928</v>
      </c>
      <c r="B400" s="1" t="str">
        <f aca="false">LOOKUP($A400,peticiones!$C$2:$C$999,peticiones!E$2:E$999)</f>
        <v>Otras Peticiones ANS</v>
      </c>
      <c r="C400" s="1" t="n">
        <f aca="false">LOOKUP($A400,peticiones!$C$2:$C$999,peticiones!F$2:F$999)</f>
        <v>0</v>
      </c>
      <c r="D400" s="1" t="n">
        <f aca="false">LOOKUP($A400,peticiones!$C$2:$C$999,peticiones!G$2:G$999)</f>
        <v>0</v>
      </c>
      <c r="E400" s="1"/>
      <c r="F400" s="1"/>
      <c r="G400" s="1"/>
      <c r="H400" s="1"/>
      <c r="I400" s="1"/>
      <c r="J400" s="1"/>
      <c r="K400" s="1"/>
      <c r="L400" s="1"/>
      <c r="M400" s="16"/>
      <c r="N400" s="16"/>
      <c r="O400" s="16"/>
      <c r="P400" s="16"/>
      <c r="Q400" s="17"/>
    </row>
    <row r="401" customFormat="false" ht="14.25" hidden="false" customHeight="false" outlineLevel="0" collapsed="false">
      <c r="A401" s="1" t="n">
        <v>138931</v>
      </c>
      <c r="B401" s="1" t="str">
        <f aca="false">LOOKUP($A401,peticiones!$C$2:$C$999,peticiones!E$2:E$999)</f>
        <v>Otras Peticiones ANS</v>
      </c>
      <c r="C401" s="1" t="n">
        <f aca="false">LOOKUP($A401,peticiones!$C$2:$C$999,peticiones!F$2:F$999)</f>
        <v>0</v>
      </c>
      <c r="D401" s="1" t="n">
        <f aca="false">LOOKUP($A401,peticiones!$C$2:$C$999,peticiones!G$2:G$999)</f>
        <v>0</v>
      </c>
      <c r="E401" s="1"/>
      <c r="F401" s="1"/>
      <c r="G401" s="1"/>
      <c r="H401" s="1"/>
      <c r="I401" s="1"/>
      <c r="J401" s="1"/>
      <c r="K401" s="1"/>
      <c r="L401" s="1"/>
      <c r="M401" s="16"/>
      <c r="N401" s="16"/>
      <c r="O401" s="16"/>
      <c r="P401" s="16"/>
      <c r="Q401" s="17"/>
    </row>
    <row r="402" customFormat="false" ht="14.25" hidden="false" customHeight="false" outlineLevel="0" collapsed="false">
      <c r="A402" s="1" t="n">
        <v>138946</v>
      </c>
      <c r="B402" s="1" t="str">
        <f aca="false">LOOKUP($A402,peticiones!$C$2:$C$999,peticiones!E$2:E$999)</f>
        <v>Otras Peticiones ANS</v>
      </c>
      <c r="C402" s="1" t="n">
        <f aca="false">LOOKUP($A402,peticiones!$C$2:$C$999,peticiones!F$2:F$999)</f>
        <v>0</v>
      </c>
      <c r="D402" s="1" t="n">
        <f aca="false">LOOKUP($A402,peticiones!$C$2:$C$999,peticiones!G$2:G$999)</f>
        <v>0</v>
      </c>
      <c r="E402" s="1"/>
      <c r="F402" s="1"/>
      <c r="G402" s="1"/>
      <c r="H402" s="1"/>
      <c r="I402" s="1"/>
      <c r="J402" s="1"/>
      <c r="K402" s="1"/>
      <c r="L402" s="1"/>
      <c r="M402" s="16"/>
      <c r="N402" s="16"/>
      <c r="O402" s="16"/>
      <c r="P402" s="16"/>
      <c r="Q402" s="17"/>
    </row>
    <row r="403" customFormat="false" ht="14.25" hidden="false" customHeight="false" outlineLevel="0" collapsed="false">
      <c r="A403" s="1" t="n">
        <v>138948</v>
      </c>
      <c r="B403" s="1" t="str">
        <f aca="false">LOOKUP($A403,peticiones!$C$2:$C$999,peticiones!E$2:E$999)</f>
        <v>Otras Peticiones ANS</v>
      </c>
      <c r="C403" s="1" t="n">
        <f aca="false">LOOKUP($A403,peticiones!$C$2:$C$999,peticiones!F$2:F$999)</f>
        <v>0</v>
      </c>
      <c r="D403" s="1" t="n">
        <f aca="false">LOOKUP($A403,peticiones!$C$2:$C$999,peticiones!G$2:G$999)</f>
        <v>0</v>
      </c>
      <c r="E403" s="1"/>
      <c r="F403" s="1"/>
      <c r="G403" s="1"/>
      <c r="H403" s="1"/>
      <c r="I403" s="1"/>
      <c r="J403" s="1"/>
      <c r="K403" s="1"/>
      <c r="L403" s="1"/>
      <c r="M403" s="16"/>
      <c r="N403" s="16"/>
      <c r="O403" s="16"/>
      <c r="P403" s="16"/>
      <c r="Q403" s="17"/>
    </row>
    <row r="404" customFormat="false" ht="14.25" hidden="false" customHeight="false" outlineLevel="0" collapsed="false">
      <c r="A404" s="1" t="n">
        <v>138971</v>
      </c>
      <c r="B404" s="1" t="str">
        <f aca="false">LOOKUP($A404,peticiones!$C$2:$C$999,peticiones!E$2:E$999)</f>
        <v>Otras Peticiones ANS</v>
      </c>
      <c r="C404" s="1" t="n">
        <f aca="false">LOOKUP($A404,peticiones!$C$2:$C$999,peticiones!F$2:F$999)</f>
        <v>0</v>
      </c>
      <c r="D404" s="1" t="n">
        <f aca="false">LOOKUP($A404,peticiones!$C$2:$C$999,peticiones!G$2:G$999)</f>
        <v>0</v>
      </c>
      <c r="E404" s="1"/>
      <c r="F404" s="1"/>
      <c r="G404" s="1"/>
      <c r="H404" s="1"/>
      <c r="I404" s="1"/>
      <c r="J404" s="1"/>
      <c r="K404" s="1"/>
      <c r="L404" s="1"/>
      <c r="M404" s="16"/>
      <c r="N404" s="16"/>
      <c r="O404" s="16"/>
      <c r="P404" s="16"/>
      <c r="Q404" s="17"/>
    </row>
    <row r="405" customFormat="false" ht="14.25" hidden="false" customHeight="false" outlineLevel="0" collapsed="false">
      <c r="A405" s="1" t="n">
        <v>138998</v>
      </c>
      <c r="B405" s="1" t="str">
        <f aca="false">LOOKUP($A405,peticiones!$C$2:$C$999,peticiones!E$2:E$999)</f>
        <v>Otras Peticiones ANS</v>
      </c>
      <c r="C405" s="1" t="n">
        <f aca="false">LOOKUP($A405,peticiones!$C$2:$C$999,peticiones!F$2:F$999)</f>
        <v>0</v>
      </c>
      <c r="D405" s="1" t="n">
        <f aca="false">LOOKUP($A405,peticiones!$C$2:$C$999,peticiones!G$2:G$999)</f>
        <v>0</v>
      </c>
      <c r="E405" s="1"/>
      <c r="F405" s="1"/>
      <c r="G405" s="1"/>
      <c r="H405" s="1"/>
      <c r="I405" s="1"/>
      <c r="J405" s="1"/>
      <c r="K405" s="1"/>
      <c r="L405" s="1"/>
      <c r="M405" s="16"/>
      <c r="N405" s="16"/>
      <c r="O405" s="16"/>
      <c r="P405" s="16"/>
      <c r="Q405" s="17"/>
    </row>
    <row r="406" customFormat="false" ht="14.25" hidden="false" customHeight="false" outlineLevel="0" collapsed="false">
      <c r="A406" s="1" t="n">
        <v>139022</v>
      </c>
      <c r="B406" s="1" t="str">
        <f aca="false">LOOKUP($A406,peticiones!$C$2:$C$999,peticiones!E$2:E$999)</f>
        <v>Otras Peticiones ANS</v>
      </c>
      <c r="C406" s="1" t="n">
        <f aca="false">LOOKUP($A406,peticiones!$C$2:$C$999,peticiones!F$2:F$999)</f>
        <v>0</v>
      </c>
      <c r="D406" s="1" t="n">
        <f aca="false">LOOKUP($A406,peticiones!$C$2:$C$999,peticiones!G$2:G$999)</f>
        <v>0</v>
      </c>
      <c r="E406" s="1"/>
      <c r="F406" s="1"/>
      <c r="G406" s="1"/>
      <c r="H406" s="1"/>
      <c r="I406" s="1"/>
      <c r="J406" s="1"/>
      <c r="K406" s="1"/>
      <c r="L406" s="1"/>
      <c r="M406" s="16"/>
      <c r="N406" s="16"/>
      <c r="O406" s="16"/>
      <c r="P406" s="16"/>
      <c r="Q406" s="17"/>
    </row>
    <row r="407" customFormat="false" ht="14.25" hidden="false" customHeight="false" outlineLevel="0" collapsed="false">
      <c r="A407" s="1" t="n">
        <v>139040</v>
      </c>
      <c r="B407" s="1" t="str">
        <f aca="false">LOOKUP($A407,peticiones!$C$2:$C$999,peticiones!E$2:E$999)</f>
        <v>Otras Peticiones ANS</v>
      </c>
      <c r="C407" s="1" t="n">
        <f aca="false">LOOKUP($A407,peticiones!$C$2:$C$999,peticiones!F$2:F$999)</f>
        <v>0</v>
      </c>
      <c r="D407" s="1" t="n">
        <f aca="false">LOOKUP($A407,peticiones!$C$2:$C$999,peticiones!G$2:G$999)</f>
        <v>0</v>
      </c>
      <c r="E407" s="1"/>
      <c r="F407" s="1"/>
      <c r="G407" s="1"/>
      <c r="H407" s="1"/>
      <c r="I407" s="1"/>
      <c r="J407" s="1"/>
      <c r="K407" s="1"/>
      <c r="L407" s="1"/>
      <c r="M407" s="16"/>
      <c r="N407" s="16"/>
      <c r="O407" s="16"/>
      <c r="P407" s="16"/>
      <c r="Q407" s="17"/>
    </row>
    <row r="408" customFormat="false" ht="14.25" hidden="false" customHeight="false" outlineLevel="0" collapsed="false">
      <c r="A408" s="1" t="n">
        <v>139054</v>
      </c>
      <c r="B408" s="1" t="str">
        <f aca="false">LOOKUP($A408,peticiones!$C$2:$C$999,peticiones!E$2:E$999)</f>
        <v>Otras Peticiones ANS</v>
      </c>
      <c r="C408" s="1" t="n">
        <f aca="false">LOOKUP($A408,peticiones!$C$2:$C$999,peticiones!F$2:F$999)</f>
        <v>0</v>
      </c>
      <c r="D408" s="1" t="n">
        <f aca="false">LOOKUP($A408,peticiones!$C$2:$C$999,peticiones!G$2:G$999)</f>
        <v>0</v>
      </c>
      <c r="E408" s="1"/>
      <c r="F408" s="1"/>
      <c r="G408" s="1"/>
      <c r="H408" s="1"/>
      <c r="I408" s="1"/>
      <c r="J408" s="1"/>
      <c r="K408" s="1"/>
      <c r="L408" s="1"/>
      <c r="M408" s="16"/>
      <c r="N408" s="16"/>
      <c r="O408" s="16"/>
      <c r="P408" s="16"/>
      <c r="Q408" s="17"/>
    </row>
    <row r="409" customFormat="false" ht="14.25" hidden="false" customHeight="false" outlineLevel="0" collapsed="false">
      <c r="A409" s="1" t="n">
        <v>139072</v>
      </c>
      <c r="B409" s="1" t="str">
        <f aca="false">LOOKUP($A409,peticiones!$C$2:$C$999,peticiones!E$2:E$999)</f>
        <v>Otras Peticiones ANS</v>
      </c>
      <c r="C409" s="1" t="n">
        <f aca="false">LOOKUP($A409,peticiones!$C$2:$C$999,peticiones!F$2:F$999)</f>
        <v>0</v>
      </c>
      <c r="D409" s="1" t="n">
        <f aca="false">LOOKUP($A409,peticiones!$C$2:$C$999,peticiones!G$2:G$999)</f>
        <v>0</v>
      </c>
      <c r="E409" s="1"/>
      <c r="F409" s="1"/>
      <c r="G409" s="1"/>
      <c r="H409" s="1"/>
      <c r="I409" s="1"/>
      <c r="J409" s="1"/>
      <c r="K409" s="1"/>
      <c r="L409" s="1"/>
      <c r="M409" s="16"/>
      <c r="N409" s="16"/>
      <c r="O409" s="16"/>
      <c r="P409" s="16"/>
      <c r="Q409" s="17"/>
    </row>
    <row r="410" customFormat="false" ht="14.25" hidden="false" customHeight="false" outlineLevel="0" collapsed="false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6"/>
      <c r="N410" s="16"/>
      <c r="O410" s="16"/>
      <c r="P410" s="16"/>
      <c r="Q410" s="17"/>
    </row>
    <row r="411" customFormat="false" ht="14.25" hidden="false" customHeight="false" outlineLevel="0" collapsed="false">
      <c r="A411" s="1" t="n">
        <v>139091</v>
      </c>
      <c r="B411" s="1" t="str">
        <f aca="false">LOOKUP($A411,peticiones!$C$2:$C$999,peticiones!E$2:E$999)</f>
        <v>Otras Peticiones ANS</v>
      </c>
      <c r="C411" s="1" t="n">
        <f aca="false">LOOKUP($A411,peticiones!$C$2:$C$999,peticiones!F$2:F$999)</f>
        <v>0</v>
      </c>
      <c r="D411" s="1" t="n">
        <f aca="false">LOOKUP($A411,peticiones!$C$2:$C$999,peticiones!G$2:G$999)</f>
        <v>0</v>
      </c>
      <c r="E411" s="1"/>
      <c r="F411" s="1"/>
      <c r="G411" s="1"/>
      <c r="H411" s="1"/>
      <c r="I411" s="1"/>
      <c r="J411" s="1"/>
      <c r="K411" s="1"/>
      <c r="L411" s="1"/>
      <c r="M411" s="16"/>
      <c r="N411" s="16"/>
      <c r="O411" s="16"/>
      <c r="P411" s="16"/>
      <c r="Q411" s="17"/>
    </row>
    <row r="412" customFormat="false" ht="14.25" hidden="false" customHeight="false" outlineLevel="0" collapsed="false">
      <c r="A412" s="1" t="n">
        <v>139098</v>
      </c>
      <c r="B412" s="1" t="str">
        <f aca="false">LOOKUP($A412,peticiones!$C$2:$C$999,peticiones!E$2:E$999)</f>
        <v>Otras Peticiones ANS</v>
      </c>
      <c r="C412" s="1" t="n">
        <f aca="false">LOOKUP($A412,peticiones!$C$2:$C$999,peticiones!F$2:F$999)</f>
        <v>0</v>
      </c>
      <c r="D412" s="1" t="n">
        <f aca="false">LOOKUP($A412,peticiones!$C$2:$C$999,peticiones!G$2:G$999)</f>
        <v>0</v>
      </c>
      <c r="E412" s="1"/>
      <c r="F412" s="1"/>
      <c r="G412" s="1"/>
      <c r="H412" s="1"/>
      <c r="I412" s="1"/>
      <c r="J412" s="1"/>
      <c r="K412" s="1"/>
      <c r="L412" s="1"/>
      <c r="M412" s="16"/>
      <c r="N412" s="16"/>
      <c r="O412" s="16"/>
      <c r="P412" s="16"/>
      <c r="Q412" s="17"/>
    </row>
    <row r="413" customFormat="false" ht="14.25" hidden="false" customHeight="false" outlineLevel="0" collapsed="false">
      <c r="A413" s="1" t="n">
        <v>139102</v>
      </c>
      <c r="B413" s="1" t="str">
        <f aca="false">LOOKUP($A413,peticiones!$C$2:$C$999,peticiones!E$2:E$999)</f>
        <v>Otras Peticiones ANS</v>
      </c>
      <c r="C413" s="1" t="n">
        <f aca="false">LOOKUP($A413,peticiones!$C$2:$C$999,peticiones!F$2:F$999)</f>
        <v>0</v>
      </c>
      <c r="D413" s="1" t="n">
        <f aca="false">LOOKUP($A413,peticiones!$C$2:$C$999,peticiones!G$2:G$999)</f>
        <v>0</v>
      </c>
      <c r="E413" s="1"/>
      <c r="F413" s="1"/>
      <c r="G413" s="1"/>
      <c r="H413" s="1"/>
      <c r="I413" s="1"/>
      <c r="J413" s="1"/>
      <c r="K413" s="1"/>
      <c r="L413" s="1"/>
      <c r="M413" s="16"/>
      <c r="N413" s="16"/>
      <c r="O413" s="16"/>
      <c r="P413" s="16"/>
      <c r="Q413" s="17"/>
    </row>
    <row r="414" customFormat="false" ht="14.25" hidden="false" customHeight="false" outlineLevel="0" collapsed="false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6"/>
      <c r="N414" s="16"/>
      <c r="O414" s="16"/>
      <c r="P414" s="16"/>
      <c r="Q414" s="17"/>
    </row>
    <row r="415" customFormat="false" ht="14.25" hidden="false" customHeight="false" outlineLevel="0" collapsed="false">
      <c r="A415" s="1" t="n">
        <v>139112</v>
      </c>
      <c r="B415" s="1" t="str">
        <f aca="false">LOOKUP($A415,peticiones!$C$2:$C$999,peticiones!E$2:E$999)</f>
        <v>Otras Peticiones ANS</v>
      </c>
      <c r="C415" s="1" t="n">
        <f aca="false">LOOKUP($A415,peticiones!$C$2:$C$999,peticiones!F$2:F$999)</f>
        <v>0</v>
      </c>
      <c r="D415" s="1" t="n">
        <f aca="false">LOOKUP($A415,peticiones!$C$2:$C$999,peticiones!G$2:G$999)</f>
        <v>0</v>
      </c>
      <c r="E415" s="1"/>
      <c r="F415" s="1"/>
      <c r="G415" s="1"/>
      <c r="H415" s="1"/>
      <c r="I415" s="1"/>
      <c r="J415" s="1"/>
      <c r="K415" s="1"/>
      <c r="L415" s="1"/>
      <c r="M415" s="16"/>
      <c r="N415" s="16"/>
      <c r="O415" s="16"/>
      <c r="P415" s="16"/>
      <c r="Q415" s="17"/>
    </row>
    <row r="416" customFormat="false" ht="14.25" hidden="false" customHeight="false" outlineLevel="0" collapsed="false">
      <c r="A416" s="1" t="n">
        <v>139115</v>
      </c>
      <c r="B416" s="1" t="str">
        <f aca="false">LOOKUP($A416,peticiones!$C$2:$C$999,peticiones!E$2:E$999)</f>
        <v>Otras Peticiones ANS</v>
      </c>
      <c r="C416" s="1" t="n">
        <f aca="false">LOOKUP($A416,peticiones!$C$2:$C$999,peticiones!F$2:F$999)</f>
        <v>0</v>
      </c>
      <c r="D416" s="1" t="n">
        <f aca="false">LOOKUP($A416,peticiones!$C$2:$C$999,peticiones!G$2:G$999)</f>
        <v>0</v>
      </c>
      <c r="E416" s="1"/>
      <c r="F416" s="1"/>
      <c r="G416" s="1"/>
      <c r="H416" s="1"/>
      <c r="I416" s="1"/>
      <c r="J416" s="1"/>
      <c r="K416" s="1"/>
      <c r="L416" s="1"/>
      <c r="M416" s="16"/>
      <c r="N416" s="16"/>
      <c r="O416" s="16"/>
      <c r="P416" s="16"/>
      <c r="Q416" s="17"/>
    </row>
    <row r="417" customFormat="false" ht="14.25" hidden="false" customHeight="false" outlineLevel="0" collapsed="false">
      <c r="A417" s="1" t="n">
        <v>139119</v>
      </c>
      <c r="B417" s="1" t="str">
        <f aca="false">LOOKUP($A417,peticiones!$C$2:$C$999,peticiones!E$2:E$999)</f>
        <v>Otras Peticiones ANS</v>
      </c>
      <c r="C417" s="1" t="n">
        <f aca="false">LOOKUP($A417,peticiones!$C$2:$C$999,peticiones!F$2:F$999)</f>
        <v>0</v>
      </c>
      <c r="D417" s="1" t="n">
        <f aca="false">LOOKUP($A417,peticiones!$C$2:$C$999,peticiones!G$2:G$999)</f>
        <v>0</v>
      </c>
      <c r="E417" s="1"/>
      <c r="F417" s="1"/>
      <c r="G417" s="1"/>
      <c r="H417" s="1"/>
      <c r="I417" s="1"/>
      <c r="J417" s="1"/>
      <c r="K417" s="1"/>
      <c r="L417" s="1"/>
      <c r="M417" s="16"/>
      <c r="N417" s="16"/>
      <c r="O417" s="16"/>
      <c r="P417" s="16"/>
      <c r="Q417" s="17"/>
    </row>
    <row r="418" customFormat="false" ht="14.25" hidden="false" customHeight="false" outlineLevel="0" collapsed="false">
      <c r="A418" s="1" t="n">
        <v>139133</v>
      </c>
      <c r="B418" s="1" t="str">
        <f aca="false">LOOKUP($A418,peticiones!$C$2:$C$999,peticiones!E$2:E$999)</f>
        <v>Otras Peticiones ANS</v>
      </c>
      <c r="C418" s="1" t="n">
        <f aca="false">LOOKUP($A418,peticiones!$C$2:$C$999,peticiones!F$2:F$999)</f>
        <v>0</v>
      </c>
      <c r="D418" s="1" t="n">
        <f aca="false">LOOKUP($A418,peticiones!$C$2:$C$999,peticiones!G$2:G$999)</f>
        <v>0</v>
      </c>
      <c r="E418" s="1"/>
      <c r="F418" s="1"/>
      <c r="G418" s="1"/>
      <c r="H418" s="1"/>
      <c r="I418" s="1"/>
      <c r="J418" s="1"/>
      <c r="K418" s="1"/>
      <c r="L418" s="1"/>
      <c r="M418" s="16"/>
      <c r="N418" s="16"/>
      <c r="O418" s="16"/>
      <c r="P418" s="16"/>
      <c r="Q418" s="17"/>
    </row>
    <row r="419" customFormat="false" ht="14.25" hidden="false" customHeight="false" outlineLevel="0" collapsed="false">
      <c r="A419" s="1" t="n">
        <v>139134</v>
      </c>
      <c r="B419" s="1" t="str">
        <f aca="false">LOOKUP($A419,peticiones!$C$2:$C$999,peticiones!E$2:E$999)</f>
        <v>Otras Peticiones ANS</v>
      </c>
      <c r="C419" s="1" t="n">
        <f aca="false">LOOKUP($A419,peticiones!$C$2:$C$999,peticiones!F$2:F$999)</f>
        <v>0</v>
      </c>
      <c r="D419" s="1" t="n">
        <f aca="false">LOOKUP($A419,peticiones!$C$2:$C$999,peticiones!G$2:G$999)</f>
        <v>0</v>
      </c>
      <c r="E419" s="1"/>
      <c r="F419" s="1"/>
      <c r="G419" s="1"/>
      <c r="H419" s="1"/>
      <c r="I419" s="1"/>
      <c r="J419" s="1"/>
      <c r="K419" s="1"/>
      <c r="L419" s="1"/>
      <c r="M419" s="16"/>
      <c r="N419" s="16"/>
      <c r="O419" s="16"/>
      <c r="P419" s="16"/>
      <c r="Q419" s="17"/>
    </row>
    <row r="420" customFormat="false" ht="14.25" hidden="false" customHeight="false" outlineLevel="0" collapsed="false">
      <c r="A420" s="1" t="n">
        <v>139140</v>
      </c>
      <c r="B420" s="1" t="str">
        <f aca="false">LOOKUP($A420,peticiones!$C$2:$C$999,peticiones!E$2:E$999)</f>
        <v>Otras Peticiones ANS</v>
      </c>
      <c r="C420" s="1" t="n">
        <f aca="false">LOOKUP($A420,peticiones!$C$2:$C$999,peticiones!F$2:F$999)</f>
        <v>0</v>
      </c>
      <c r="D420" s="1" t="n">
        <f aca="false">LOOKUP($A420,peticiones!$C$2:$C$999,peticiones!G$2:G$999)</f>
        <v>0</v>
      </c>
      <c r="E420" s="1"/>
      <c r="F420" s="1"/>
      <c r="G420" s="1"/>
      <c r="H420" s="1"/>
      <c r="I420" s="1"/>
      <c r="J420" s="1"/>
      <c r="K420" s="1"/>
      <c r="L420" s="1"/>
      <c r="M420" s="16"/>
      <c r="N420" s="16"/>
      <c r="O420" s="16"/>
      <c r="P420" s="16"/>
      <c r="Q420" s="17"/>
    </row>
    <row r="421" customFormat="false" ht="14.25" hidden="false" customHeight="false" outlineLevel="0" collapsed="false">
      <c r="A421" s="1" t="n">
        <v>139142</v>
      </c>
      <c r="B421" s="1" t="str">
        <f aca="false">LOOKUP($A421,peticiones!$C$2:$C$999,peticiones!E$2:E$999)</f>
        <v>Otras Peticiones ANS</v>
      </c>
      <c r="C421" s="1" t="n">
        <f aca="false">LOOKUP($A421,peticiones!$C$2:$C$999,peticiones!F$2:F$999)</f>
        <v>0</v>
      </c>
      <c r="D421" s="1" t="n">
        <f aca="false">LOOKUP($A421,peticiones!$C$2:$C$999,peticiones!G$2:G$999)</f>
        <v>0</v>
      </c>
      <c r="E421" s="1"/>
      <c r="F421" s="1"/>
      <c r="G421" s="1"/>
      <c r="H421" s="1"/>
      <c r="I421" s="1"/>
      <c r="J421" s="1"/>
      <c r="K421" s="1"/>
      <c r="L421" s="1"/>
      <c r="M421" s="16"/>
      <c r="N421" s="16"/>
      <c r="O421" s="16"/>
      <c r="P421" s="16"/>
      <c r="Q421" s="17"/>
    </row>
    <row r="422" customFormat="false" ht="14.25" hidden="false" customHeight="false" outlineLevel="0" collapsed="false">
      <c r="A422" s="1" t="n">
        <v>139159</v>
      </c>
      <c r="B422" s="1" t="str">
        <f aca="false">LOOKUP($A422,peticiones!$C$2:$C$999,peticiones!E$2:E$999)</f>
        <v>Otras Peticiones ANS</v>
      </c>
      <c r="C422" s="1" t="n">
        <f aca="false">LOOKUP($A422,peticiones!$C$2:$C$999,peticiones!F$2:F$999)</f>
        <v>0</v>
      </c>
      <c r="D422" s="1" t="n">
        <f aca="false">LOOKUP($A422,peticiones!$C$2:$C$999,peticiones!G$2:G$999)</f>
        <v>0</v>
      </c>
      <c r="E422" s="1"/>
      <c r="F422" s="1"/>
      <c r="G422" s="1"/>
      <c r="H422" s="1"/>
      <c r="I422" s="1"/>
      <c r="J422" s="1"/>
      <c r="K422" s="1"/>
      <c r="L422" s="1"/>
      <c r="M422" s="16"/>
      <c r="N422" s="16"/>
      <c r="O422" s="16"/>
      <c r="P422" s="16"/>
      <c r="Q422" s="17"/>
    </row>
    <row r="423" customFormat="false" ht="14.25" hidden="false" customHeight="false" outlineLevel="0" collapsed="false">
      <c r="A423" s="1" t="n">
        <v>139168</v>
      </c>
      <c r="B423" s="1" t="str">
        <f aca="false">LOOKUP($A423,peticiones!$C$2:$C$999,peticiones!E$2:E$999)</f>
        <v>Otras Peticiones ANS</v>
      </c>
      <c r="C423" s="1" t="n">
        <f aca="false">LOOKUP($A423,peticiones!$C$2:$C$999,peticiones!F$2:F$999)</f>
        <v>0</v>
      </c>
      <c r="D423" s="1" t="n">
        <f aca="false">LOOKUP($A423,peticiones!$C$2:$C$999,peticiones!G$2:G$999)</f>
        <v>0</v>
      </c>
      <c r="E423" s="1"/>
      <c r="F423" s="1"/>
      <c r="G423" s="1"/>
      <c r="H423" s="1"/>
      <c r="I423" s="1"/>
      <c r="J423" s="1"/>
      <c r="K423" s="1"/>
      <c r="L423" s="1"/>
      <c r="M423" s="16"/>
      <c r="N423" s="16"/>
      <c r="O423" s="16"/>
      <c r="P423" s="16"/>
      <c r="Q423" s="17"/>
    </row>
    <row r="424" customFormat="false" ht="14.25" hidden="false" customHeight="false" outlineLevel="0" collapsed="false">
      <c r="A424" s="1" t="n">
        <v>139177</v>
      </c>
      <c r="B424" s="1" t="str">
        <f aca="false">LOOKUP($A424,peticiones!$C$2:$C$999,peticiones!E$2:E$999)</f>
        <v>Otras Peticiones ANS</v>
      </c>
      <c r="C424" s="1" t="n">
        <f aca="false">LOOKUP($A424,peticiones!$C$2:$C$999,peticiones!F$2:F$999)</f>
        <v>0</v>
      </c>
      <c r="D424" s="1" t="n">
        <f aca="false">LOOKUP($A424,peticiones!$C$2:$C$999,peticiones!G$2:G$999)</f>
        <v>0</v>
      </c>
      <c r="E424" s="1"/>
      <c r="F424" s="1"/>
      <c r="G424" s="1"/>
      <c r="H424" s="1"/>
      <c r="I424" s="1"/>
      <c r="J424" s="1"/>
      <c r="K424" s="1"/>
      <c r="L424" s="1"/>
      <c r="M424" s="16"/>
      <c r="N424" s="16"/>
      <c r="O424" s="16"/>
      <c r="P424" s="16"/>
      <c r="Q424" s="17"/>
    </row>
    <row r="425" customFormat="false" ht="14.25" hidden="false" customHeight="false" outlineLevel="0" collapsed="false">
      <c r="A425" s="1" t="n">
        <v>139180</v>
      </c>
      <c r="B425" s="1" t="str">
        <f aca="false">LOOKUP($A425,peticiones!$C$2:$C$999,peticiones!E$2:E$999)</f>
        <v>Otras Peticiones ANS</v>
      </c>
      <c r="C425" s="1" t="n">
        <f aca="false">LOOKUP($A425,peticiones!$C$2:$C$999,peticiones!F$2:F$999)</f>
        <v>0</v>
      </c>
      <c r="D425" s="1" t="n">
        <f aca="false">LOOKUP($A425,peticiones!$C$2:$C$999,peticiones!G$2:G$999)</f>
        <v>0</v>
      </c>
      <c r="E425" s="1"/>
      <c r="F425" s="1"/>
      <c r="G425" s="1"/>
      <c r="H425" s="1"/>
      <c r="I425" s="1"/>
      <c r="J425" s="1"/>
      <c r="K425" s="1"/>
      <c r="L425" s="1"/>
      <c r="M425" s="16"/>
      <c r="N425" s="16"/>
      <c r="O425" s="16"/>
      <c r="P425" s="16"/>
      <c r="Q425" s="17"/>
    </row>
    <row r="426" customFormat="false" ht="14.25" hidden="false" customHeight="false" outlineLevel="0" collapsed="false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6"/>
      <c r="N426" s="16"/>
      <c r="O426" s="16"/>
      <c r="P426" s="16"/>
      <c r="Q426" s="17"/>
    </row>
    <row r="427" customFormat="false" ht="14.25" hidden="false" customHeight="false" outlineLevel="0" collapsed="false">
      <c r="A427" s="1" t="n">
        <v>139196</v>
      </c>
      <c r="B427" s="1" t="str">
        <f aca="false">LOOKUP($A427,peticiones!$C$2:$C$999,peticiones!E$2:E$999)</f>
        <v>Otras Peticiones ANS</v>
      </c>
      <c r="C427" s="1" t="n">
        <f aca="false">LOOKUP($A427,peticiones!$C$2:$C$999,peticiones!F$2:F$999)</f>
        <v>0</v>
      </c>
      <c r="D427" s="1" t="n">
        <f aca="false">LOOKUP($A427,peticiones!$C$2:$C$999,peticiones!G$2:G$999)</f>
        <v>0</v>
      </c>
      <c r="E427" s="1"/>
      <c r="F427" s="1"/>
      <c r="G427" s="1"/>
      <c r="H427" s="1"/>
      <c r="I427" s="1"/>
      <c r="J427" s="1"/>
      <c r="K427" s="1"/>
      <c r="L427" s="1"/>
      <c r="M427" s="16"/>
      <c r="N427" s="16"/>
      <c r="O427" s="16"/>
      <c r="P427" s="16"/>
      <c r="Q427" s="17"/>
    </row>
    <row r="428" customFormat="false" ht="14.25" hidden="false" customHeight="false" outlineLevel="0" collapsed="false">
      <c r="A428" s="1" t="n">
        <v>139199</v>
      </c>
      <c r="B428" s="1" t="str">
        <f aca="false">LOOKUP($A428,peticiones!$C$2:$C$999,peticiones!E$2:E$999)</f>
        <v>Otras Peticiones ANS</v>
      </c>
      <c r="C428" s="1" t="n">
        <f aca="false">LOOKUP($A428,peticiones!$C$2:$C$999,peticiones!F$2:F$999)</f>
        <v>0</v>
      </c>
      <c r="D428" s="1" t="n">
        <f aca="false">LOOKUP($A428,peticiones!$C$2:$C$999,peticiones!G$2:G$999)</f>
        <v>0</v>
      </c>
      <c r="E428" s="1"/>
      <c r="F428" s="1"/>
      <c r="G428" s="1"/>
      <c r="H428" s="1"/>
      <c r="I428" s="1"/>
      <c r="J428" s="1"/>
      <c r="K428" s="1"/>
      <c r="L428" s="1"/>
      <c r="M428" s="16"/>
      <c r="N428" s="16"/>
      <c r="O428" s="16"/>
      <c r="P428" s="16"/>
      <c r="Q428" s="17"/>
    </row>
    <row r="429" customFormat="false" ht="14.25" hidden="false" customHeight="false" outlineLevel="0" collapsed="false">
      <c r="A429" s="1" t="n">
        <v>139211</v>
      </c>
      <c r="B429" s="1" t="str">
        <f aca="false">LOOKUP($A429,peticiones!$C$2:$C$999,peticiones!E$2:E$999)</f>
        <v>Otras Peticiones ANS</v>
      </c>
      <c r="C429" s="1" t="n">
        <f aca="false">LOOKUP($A429,peticiones!$C$2:$C$999,peticiones!F$2:F$999)</f>
        <v>0</v>
      </c>
      <c r="D429" s="1" t="n">
        <f aca="false">LOOKUP($A429,peticiones!$C$2:$C$999,peticiones!G$2:G$999)</f>
        <v>0</v>
      </c>
      <c r="E429" s="1"/>
      <c r="F429" s="1"/>
      <c r="G429" s="1"/>
      <c r="H429" s="1"/>
      <c r="I429" s="1"/>
      <c r="J429" s="1"/>
      <c r="K429" s="1"/>
      <c r="L429" s="1"/>
      <c r="M429" s="16"/>
      <c r="N429" s="16"/>
      <c r="O429" s="16"/>
      <c r="P429" s="16"/>
      <c r="Q429" s="17"/>
    </row>
    <row r="430" customFormat="false" ht="14.25" hidden="false" customHeight="false" outlineLevel="0" collapsed="false">
      <c r="A430" s="1" t="n">
        <v>139245</v>
      </c>
      <c r="B430" s="1" t="str">
        <f aca="false">LOOKUP($A430,peticiones!$C$2:$C$999,peticiones!E$2:E$999)</f>
        <v>Otras Peticiones ANS</v>
      </c>
      <c r="C430" s="1" t="n">
        <f aca="false">LOOKUP($A430,peticiones!$C$2:$C$999,peticiones!F$2:F$999)</f>
        <v>0</v>
      </c>
      <c r="D430" s="1" t="n">
        <f aca="false">LOOKUP($A430,peticiones!$C$2:$C$999,peticiones!G$2:G$999)</f>
        <v>0</v>
      </c>
      <c r="E430" s="1"/>
      <c r="F430" s="1"/>
      <c r="G430" s="1"/>
      <c r="H430" s="1"/>
      <c r="I430" s="1"/>
      <c r="J430" s="1"/>
      <c r="K430" s="1"/>
      <c r="L430" s="1"/>
      <c r="M430" s="16"/>
      <c r="N430" s="16"/>
      <c r="O430" s="16"/>
      <c r="P430" s="16"/>
      <c r="Q430" s="17"/>
    </row>
    <row r="431" customFormat="false" ht="14.25" hidden="false" customHeight="false" outlineLevel="0" collapsed="false">
      <c r="A431" s="1" t="n">
        <v>139259</v>
      </c>
      <c r="B431" s="1" t="str">
        <f aca="false">LOOKUP($A431,peticiones!$C$2:$C$999,peticiones!E$2:E$999)</f>
        <v>Otras Peticiones ANS</v>
      </c>
      <c r="C431" s="1" t="n">
        <f aca="false">LOOKUP($A431,peticiones!$C$2:$C$999,peticiones!F$2:F$999)</f>
        <v>0</v>
      </c>
      <c r="D431" s="1" t="n">
        <f aca="false">LOOKUP($A431,peticiones!$C$2:$C$999,peticiones!G$2:G$999)</f>
        <v>0</v>
      </c>
      <c r="E431" s="1"/>
      <c r="F431" s="1"/>
      <c r="G431" s="1"/>
      <c r="H431" s="1"/>
      <c r="I431" s="1"/>
      <c r="J431" s="1"/>
      <c r="K431" s="1"/>
      <c r="L431" s="1"/>
      <c r="M431" s="16"/>
      <c r="N431" s="16"/>
      <c r="O431" s="16"/>
      <c r="P431" s="16"/>
      <c r="Q431" s="17"/>
    </row>
    <row r="432" customFormat="false" ht="14.25" hidden="false" customHeight="false" outlineLevel="0" collapsed="false">
      <c r="A432" s="1" t="n">
        <v>139273</v>
      </c>
      <c r="B432" s="1" t="str">
        <f aca="false">LOOKUP($A432,peticiones!$C$2:$C$999,peticiones!E$2:E$999)</f>
        <v>Otras Peticiones ANS</v>
      </c>
      <c r="C432" s="1" t="n">
        <f aca="false">LOOKUP($A432,peticiones!$C$2:$C$999,peticiones!F$2:F$999)</f>
        <v>0</v>
      </c>
      <c r="D432" s="1" t="n">
        <f aca="false">LOOKUP($A432,peticiones!$C$2:$C$999,peticiones!G$2:G$999)</f>
        <v>0</v>
      </c>
      <c r="E432" s="1"/>
      <c r="F432" s="1"/>
      <c r="G432" s="1"/>
      <c r="H432" s="1"/>
      <c r="I432" s="1"/>
      <c r="J432" s="1"/>
      <c r="K432" s="1"/>
      <c r="L432" s="1"/>
      <c r="M432" s="16"/>
      <c r="N432" s="16"/>
      <c r="O432" s="16"/>
      <c r="P432" s="16"/>
      <c r="Q432" s="17"/>
    </row>
    <row r="433" customFormat="false" ht="14.25" hidden="false" customHeight="false" outlineLevel="0" collapsed="false">
      <c r="A433" s="1" t="n">
        <v>139278</v>
      </c>
      <c r="B433" s="1" t="str">
        <f aca="false">LOOKUP($A433,peticiones!$C$2:$C$999,peticiones!E$2:E$999)</f>
        <v>Otras Peticiones ANS</v>
      </c>
      <c r="C433" s="1" t="n">
        <f aca="false">LOOKUP($A433,peticiones!$C$2:$C$999,peticiones!F$2:F$999)</f>
        <v>0</v>
      </c>
      <c r="D433" s="1" t="n">
        <f aca="false">LOOKUP($A433,peticiones!$C$2:$C$999,peticiones!G$2:G$999)</f>
        <v>0</v>
      </c>
      <c r="E433" s="1"/>
      <c r="F433" s="1"/>
      <c r="G433" s="1"/>
      <c r="H433" s="1"/>
      <c r="I433" s="1"/>
      <c r="J433" s="1"/>
      <c r="K433" s="1"/>
      <c r="L433" s="1"/>
      <c r="M433" s="16"/>
      <c r="N433" s="16"/>
      <c r="O433" s="16"/>
      <c r="P433" s="16"/>
      <c r="Q433" s="17"/>
    </row>
    <row r="434" customFormat="false" ht="14.25" hidden="false" customHeight="false" outlineLevel="0" collapsed="false">
      <c r="A434" s="1" t="n">
        <v>139281</v>
      </c>
      <c r="B434" s="1" t="str">
        <f aca="false">LOOKUP($A434,peticiones!$C$2:$C$999,peticiones!E$2:E$999)</f>
        <v>Otras Peticiones ANS</v>
      </c>
      <c r="C434" s="1" t="n">
        <f aca="false">LOOKUP($A434,peticiones!$C$2:$C$999,peticiones!F$2:F$999)</f>
        <v>0</v>
      </c>
      <c r="D434" s="1" t="n">
        <f aca="false">LOOKUP($A434,peticiones!$C$2:$C$999,peticiones!G$2:G$999)</f>
        <v>0</v>
      </c>
      <c r="E434" s="1"/>
      <c r="F434" s="1"/>
      <c r="G434" s="1"/>
      <c r="H434" s="1"/>
      <c r="I434" s="1"/>
      <c r="J434" s="1"/>
      <c r="K434" s="1"/>
      <c r="L434" s="1"/>
      <c r="M434" s="16"/>
      <c r="N434" s="16"/>
      <c r="O434" s="16"/>
      <c r="P434" s="16"/>
      <c r="Q434" s="17"/>
    </row>
    <row r="435" customFormat="false" ht="14.25" hidden="false" customHeight="false" outlineLevel="0" collapsed="false">
      <c r="A435" s="1" t="n">
        <v>139282</v>
      </c>
      <c r="B435" s="1" t="str">
        <f aca="false">LOOKUP($A435,peticiones!$C$2:$C$999,peticiones!E$2:E$999)</f>
        <v>Otras Peticiones ANS</v>
      </c>
      <c r="C435" s="1" t="n">
        <f aca="false">LOOKUP($A435,peticiones!$C$2:$C$999,peticiones!F$2:F$999)</f>
        <v>0</v>
      </c>
      <c r="D435" s="1" t="n">
        <f aca="false">LOOKUP($A435,peticiones!$C$2:$C$999,peticiones!G$2:G$999)</f>
        <v>0</v>
      </c>
      <c r="E435" s="1"/>
      <c r="F435" s="1"/>
      <c r="G435" s="1"/>
      <c r="H435" s="1"/>
      <c r="I435" s="1"/>
      <c r="J435" s="1"/>
      <c r="K435" s="1"/>
      <c r="L435" s="1"/>
      <c r="M435" s="16"/>
      <c r="N435" s="16"/>
      <c r="O435" s="16"/>
      <c r="P435" s="16"/>
      <c r="Q435" s="17"/>
    </row>
    <row r="436" customFormat="false" ht="14.25" hidden="false" customHeight="false" outlineLevel="0" collapsed="false">
      <c r="A436" s="1" t="n">
        <v>139294</v>
      </c>
      <c r="B436" s="1" t="str">
        <f aca="false">LOOKUP($A436,peticiones!$C$2:$C$999,peticiones!E$2:E$999)</f>
        <v>Otras Peticiones ANS</v>
      </c>
      <c r="C436" s="1" t="n">
        <f aca="false">LOOKUP($A436,peticiones!$C$2:$C$999,peticiones!F$2:F$999)</f>
        <v>0</v>
      </c>
      <c r="D436" s="1" t="n">
        <f aca="false">LOOKUP($A436,peticiones!$C$2:$C$999,peticiones!G$2:G$999)</f>
        <v>0</v>
      </c>
      <c r="E436" s="1"/>
      <c r="F436" s="1"/>
      <c r="G436" s="1"/>
      <c r="H436" s="1"/>
      <c r="I436" s="1"/>
      <c r="J436" s="1"/>
      <c r="K436" s="1"/>
      <c r="L436" s="1"/>
      <c r="M436" s="16"/>
      <c r="N436" s="16"/>
      <c r="O436" s="16"/>
      <c r="P436" s="16"/>
      <c r="Q436" s="17"/>
    </row>
    <row r="437" customFormat="false" ht="14.25" hidden="false" customHeight="false" outlineLevel="0" collapsed="false">
      <c r="A437" s="1" t="n">
        <v>139297</v>
      </c>
      <c r="B437" s="1" t="str">
        <f aca="false">LOOKUP($A437,peticiones!$C$2:$C$999,peticiones!E$2:E$999)</f>
        <v>Otras Peticiones ANS</v>
      </c>
      <c r="C437" s="1" t="n">
        <f aca="false">LOOKUP($A437,peticiones!$C$2:$C$999,peticiones!F$2:F$999)</f>
        <v>0</v>
      </c>
      <c r="D437" s="1" t="n">
        <f aca="false">LOOKUP($A437,peticiones!$C$2:$C$999,peticiones!G$2:G$999)</f>
        <v>0</v>
      </c>
      <c r="E437" s="1"/>
      <c r="F437" s="1"/>
      <c r="G437" s="1"/>
      <c r="H437" s="1"/>
      <c r="I437" s="1"/>
      <c r="J437" s="1"/>
      <c r="K437" s="1"/>
      <c r="L437" s="1"/>
      <c r="M437" s="16"/>
      <c r="N437" s="16"/>
      <c r="O437" s="16"/>
      <c r="P437" s="16"/>
      <c r="Q437" s="17"/>
    </row>
    <row r="438" customFormat="false" ht="14.25" hidden="false" customHeight="false" outlineLevel="0" collapsed="false">
      <c r="A438" s="1" t="n">
        <v>139298</v>
      </c>
      <c r="B438" s="1" t="str">
        <f aca="false">LOOKUP($A438,peticiones!$C$2:$C$999,peticiones!E$2:E$999)</f>
        <v>Otras Peticiones ANS</v>
      </c>
      <c r="C438" s="1" t="n">
        <f aca="false">LOOKUP($A438,peticiones!$C$2:$C$999,peticiones!F$2:F$999)</f>
        <v>0</v>
      </c>
      <c r="D438" s="1" t="n">
        <f aca="false">LOOKUP($A438,peticiones!$C$2:$C$999,peticiones!G$2:G$999)</f>
        <v>0</v>
      </c>
      <c r="E438" s="1"/>
      <c r="F438" s="1"/>
      <c r="G438" s="1"/>
      <c r="H438" s="1"/>
      <c r="I438" s="1"/>
      <c r="J438" s="1"/>
      <c r="K438" s="1"/>
      <c r="L438" s="1"/>
      <c r="M438" s="16"/>
      <c r="N438" s="16"/>
      <c r="O438" s="16"/>
      <c r="P438" s="16"/>
      <c r="Q438" s="17"/>
    </row>
    <row r="439" customFormat="false" ht="14.25" hidden="false" customHeight="false" outlineLevel="0" collapsed="false">
      <c r="A439" s="1" t="n">
        <v>139304</v>
      </c>
      <c r="B439" s="1" t="str">
        <f aca="false">LOOKUP($A439,peticiones!$C$2:$C$999,peticiones!E$2:E$999)</f>
        <v>Otras Peticiones ANS</v>
      </c>
      <c r="C439" s="1" t="n">
        <f aca="false">LOOKUP($A439,peticiones!$C$2:$C$999,peticiones!F$2:F$999)</f>
        <v>0</v>
      </c>
      <c r="D439" s="1" t="n">
        <f aca="false">LOOKUP($A439,peticiones!$C$2:$C$999,peticiones!G$2:G$999)</f>
        <v>0</v>
      </c>
      <c r="E439" s="1"/>
      <c r="F439" s="1"/>
      <c r="G439" s="1"/>
      <c r="H439" s="1"/>
      <c r="I439" s="1"/>
      <c r="J439" s="1"/>
      <c r="K439" s="1"/>
      <c r="L439" s="1"/>
      <c r="M439" s="16"/>
      <c r="N439" s="16"/>
      <c r="O439" s="16"/>
      <c r="P439" s="16"/>
      <c r="Q439" s="17"/>
    </row>
    <row r="440" customFormat="false" ht="14.25" hidden="false" customHeight="false" outlineLevel="0" collapsed="false">
      <c r="A440" s="1" t="n">
        <v>139305</v>
      </c>
      <c r="B440" s="1" t="str">
        <f aca="false">LOOKUP($A440,peticiones!$C$2:$C$999,peticiones!E$2:E$999)</f>
        <v>Otras Peticiones ANS</v>
      </c>
      <c r="C440" s="1" t="n">
        <f aca="false">LOOKUP($A440,peticiones!$C$2:$C$999,peticiones!F$2:F$999)</f>
        <v>0</v>
      </c>
      <c r="D440" s="1" t="n">
        <f aca="false">LOOKUP($A440,peticiones!$C$2:$C$999,peticiones!G$2:G$999)</f>
        <v>0</v>
      </c>
      <c r="E440" s="1"/>
      <c r="F440" s="1"/>
      <c r="G440" s="1"/>
      <c r="H440" s="1"/>
      <c r="I440" s="1"/>
      <c r="J440" s="1"/>
      <c r="K440" s="1"/>
      <c r="L440" s="1"/>
      <c r="M440" s="16"/>
      <c r="N440" s="16"/>
      <c r="O440" s="16"/>
      <c r="P440" s="16"/>
      <c r="Q440" s="17"/>
    </row>
    <row r="441" customFormat="false" ht="14.25" hidden="false" customHeight="false" outlineLevel="0" collapsed="false">
      <c r="A441" s="1" t="n">
        <v>139307</v>
      </c>
      <c r="B441" s="1" t="str">
        <f aca="false">LOOKUP($A441,peticiones!$C$2:$C$999,peticiones!E$2:E$999)</f>
        <v>Otras Peticiones ANS</v>
      </c>
      <c r="C441" s="1" t="n">
        <f aca="false">LOOKUP($A441,peticiones!$C$2:$C$999,peticiones!F$2:F$999)</f>
        <v>0</v>
      </c>
      <c r="D441" s="1" t="n">
        <f aca="false">LOOKUP($A441,peticiones!$C$2:$C$999,peticiones!G$2:G$999)</f>
        <v>0</v>
      </c>
      <c r="E441" s="1"/>
      <c r="F441" s="1"/>
      <c r="G441" s="1"/>
      <c r="H441" s="1"/>
      <c r="I441" s="1"/>
      <c r="J441" s="1"/>
      <c r="K441" s="1"/>
      <c r="L441" s="1"/>
      <c r="M441" s="16"/>
      <c r="N441" s="16"/>
      <c r="O441" s="16"/>
      <c r="P441" s="16"/>
      <c r="Q441" s="17"/>
    </row>
    <row r="442" customFormat="false" ht="14.25" hidden="false" customHeight="false" outlineLevel="0" collapsed="false">
      <c r="A442" s="1" t="n">
        <v>139308</v>
      </c>
      <c r="B442" s="1" t="str">
        <f aca="false">LOOKUP($A442,peticiones!$C$2:$C$999,peticiones!E$2:E$999)</f>
        <v>Otras Peticiones ANS</v>
      </c>
      <c r="C442" s="1" t="n">
        <f aca="false">LOOKUP($A442,peticiones!$C$2:$C$999,peticiones!F$2:F$999)</f>
        <v>0</v>
      </c>
      <c r="D442" s="1" t="n">
        <f aca="false">LOOKUP($A442,peticiones!$C$2:$C$999,peticiones!G$2:G$999)</f>
        <v>0</v>
      </c>
      <c r="E442" s="1"/>
      <c r="F442" s="1"/>
      <c r="G442" s="1"/>
      <c r="H442" s="1"/>
      <c r="I442" s="1"/>
      <c r="J442" s="1"/>
      <c r="K442" s="1"/>
      <c r="L442" s="1"/>
      <c r="M442" s="16"/>
      <c r="N442" s="16"/>
      <c r="O442" s="16"/>
      <c r="P442" s="16"/>
      <c r="Q442" s="17"/>
    </row>
    <row r="443" customFormat="false" ht="14.25" hidden="false" customHeight="false" outlineLevel="0" collapsed="false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6"/>
      <c r="N443" s="16"/>
      <c r="O443" s="16"/>
      <c r="P443" s="16"/>
      <c r="Q443" s="17"/>
    </row>
    <row r="444" customFormat="false" ht="14.25" hidden="false" customHeight="false" outlineLevel="0" collapsed="false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6"/>
      <c r="N444" s="16"/>
      <c r="O444" s="16"/>
      <c r="P444" s="16"/>
      <c r="Q444" s="17"/>
    </row>
    <row r="445" customFormat="false" ht="14.25" hidden="false" customHeight="false" outlineLevel="0" collapsed="false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6"/>
      <c r="N445" s="16"/>
      <c r="O445" s="16"/>
      <c r="P445" s="16"/>
      <c r="Q445" s="17"/>
    </row>
    <row r="446" customFormat="false" ht="14.25" hidden="false" customHeight="false" outlineLevel="0" collapsed="false">
      <c r="A446" s="1" t="n">
        <v>139318</v>
      </c>
      <c r="B446" s="1" t="str">
        <f aca="false">LOOKUP($A446,peticiones!$C$2:$C$999,peticiones!E$2:E$999)</f>
        <v>Otras Peticiones ANS</v>
      </c>
      <c r="C446" s="1" t="n">
        <f aca="false">LOOKUP($A446,peticiones!$C$2:$C$999,peticiones!F$2:F$999)</f>
        <v>0</v>
      </c>
      <c r="D446" s="1" t="n">
        <f aca="false">LOOKUP($A446,peticiones!$C$2:$C$999,peticiones!G$2:G$999)</f>
        <v>0</v>
      </c>
      <c r="E446" s="1"/>
      <c r="F446" s="1"/>
      <c r="G446" s="1"/>
      <c r="H446" s="1"/>
      <c r="I446" s="1"/>
      <c r="J446" s="1"/>
      <c r="K446" s="1"/>
      <c r="L446" s="1"/>
      <c r="M446" s="16"/>
      <c r="N446" s="16"/>
      <c r="O446" s="16"/>
      <c r="P446" s="16"/>
      <c r="Q446" s="17"/>
    </row>
    <row r="447" customFormat="false" ht="14.25" hidden="false" customHeight="false" outlineLevel="0" collapsed="false">
      <c r="A447" s="1" t="n">
        <v>139325</v>
      </c>
      <c r="B447" s="1" t="str">
        <f aca="false">LOOKUP($A447,peticiones!$C$2:$C$999,peticiones!E$2:E$999)</f>
        <v>Otras Peticiones ANS</v>
      </c>
      <c r="C447" s="1" t="n">
        <f aca="false">LOOKUP($A447,peticiones!$C$2:$C$999,peticiones!F$2:F$999)</f>
        <v>0</v>
      </c>
      <c r="D447" s="1" t="n">
        <f aca="false">LOOKUP($A447,peticiones!$C$2:$C$999,peticiones!G$2:G$999)</f>
        <v>0</v>
      </c>
      <c r="E447" s="1"/>
      <c r="F447" s="1"/>
      <c r="G447" s="1"/>
      <c r="H447" s="1"/>
      <c r="I447" s="1"/>
      <c r="J447" s="1"/>
      <c r="K447" s="1"/>
      <c r="L447" s="1"/>
      <c r="M447" s="16"/>
      <c r="N447" s="16"/>
      <c r="O447" s="16"/>
      <c r="P447" s="16"/>
      <c r="Q447" s="17"/>
    </row>
    <row r="448" customFormat="false" ht="14.25" hidden="false" customHeight="false" outlineLevel="0" collapsed="false">
      <c r="A448" s="1" t="n">
        <v>139327</v>
      </c>
      <c r="B448" s="1" t="str">
        <f aca="false">LOOKUP($A448,peticiones!$C$2:$C$999,peticiones!E$2:E$999)</f>
        <v>Otras Peticiones ANS</v>
      </c>
      <c r="C448" s="1" t="n">
        <f aca="false">LOOKUP($A448,peticiones!$C$2:$C$999,peticiones!F$2:F$999)</f>
        <v>0</v>
      </c>
      <c r="D448" s="1" t="n">
        <f aca="false">LOOKUP($A448,peticiones!$C$2:$C$999,peticiones!G$2:G$999)</f>
        <v>0</v>
      </c>
      <c r="E448" s="1"/>
      <c r="F448" s="1"/>
      <c r="G448" s="1"/>
      <c r="H448" s="1"/>
      <c r="I448" s="1"/>
      <c r="J448" s="1"/>
      <c r="K448" s="1"/>
      <c r="L448" s="1"/>
      <c r="M448" s="16"/>
      <c r="N448" s="16"/>
      <c r="O448" s="16"/>
      <c r="P448" s="16"/>
      <c r="Q448" s="17"/>
    </row>
    <row r="449" customFormat="false" ht="14.25" hidden="false" customHeight="false" outlineLevel="0" collapsed="false">
      <c r="A449" s="1" t="n">
        <v>139330</v>
      </c>
      <c r="B449" s="1" t="str">
        <f aca="false">LOOKUP($A449,peticiones!$C$2:$C$999,peticiones!E$2:E$999)</f>
        <v>Otras Peticiones ANS</v>
      </c>
      <c r="C449" s="1" t="n">
        <f aca="false">LOOKUP($A449,peticiones!$C$2:$C$999,peticiones!F$2:F$999)</f>
        <v>0</v>
      </c>
      <c r="D449" s="1" t="n">
        <f aca="false">LOOKUP($A449,peticiones!$C$2:$C$999,peticiones!G$2:G$999)</f>
        <v>0</v>
      </c>
      <c r="E449" s="1"/>
      <c r="F449" s="1"/>
      <c r="G449" s="1"/>
      <c r="H449" s="1"/>
      <c r="I449" s="1"/>
      <c r="J449" s="1"/>
      <c r="K449" s="1"/>
      <c r="L449" s="1"/>
      <c r="M449" s="16"/>
      <c r="N449" s="16"/>
      <c r="O449" s="16"/>
      <c r="P449" s="16"/>
      <c r="Q449" s="17"/>
    </row>
    <row r="450" customFormat="false" ht="14.25" hidden="false" customHeight="false" outlineLevel="0" collapsed="false">
      <c r="A450" s="1" t="n">
        <v>139334</v>
      </c>
      <c r="B450" s="1" t="str">
        <f aca="false">LOOKUP($A450,peticiones!$C$2:$C$999,peticiones!E$2:E$999)</f>
        <v>Otras Peticiones ANS</v>
      </c>
      <c r="C450" s="1" t="n">
        <f aca="false">LOOKUP($A450,peticiones!$C$2:$C$999,peticiones!F$2:F$999)</f>
        <v>0</v>
      </c>
      <c r="D450" s="1" t="n">
        <f aca="false">LOOKUP($A450,peticiones!$C$2:$C$999,peticiones!G$2:G$999)</f>
        <v>0</v>
      </c>
      <c r="E450" s="1"/>
      <c r="F450" s="1"/>
      <c r="G450" s="1"/>
      <c r="H450" s="1"/>
      <c r="I450" s="1"/>
      <c r="J450" s="1"/>
      <c r="K450" s="1"/>
      <c r="L450" s="1"/>
      <c r="M450" s="16"/>
      <c r="N450" s="16"/>
      <c r="O450" s="16"/>
      <c r="P450" s="16"/>
      <c r="Q450" s="17"/>
    </row>
    <row r="451" customFormat="false" ht="14.25" hidden="false" customHeight="false" outlineLevel="0" collapsed="false">
      <c r="A451" s="1" t="n">
        <v>139337</v>
      </c>
      <c r="B451" s="1" t="str">
        <f aca="false">LOOKUP($A451,peticiones!$C$2:$C$999,peticiones!E$2:E$999)</f>
        <v>Otras Peticiones ANS</v>
      </c>
      <c r="C451" s="1" t="n">
        <f aca="false">LOOKUP($A451,peticiones!$C$2:$C$999,peticiones!F$2:F$999)</f>
        <v>0</v>
      </c>
      <c r="D451" s="1" t="n">
        <f aca="false">LOOKUP($A451,peticiones!$C$2:$C$999,peticiones!G$2:G$999)</f>
        <v>0</v>
      </c>
      <c r="E451" s="1"/>
      <c r="F451" s="1"/>
      <c r="G451" s="1"/>
      <c r="H451" s="1"/>
      <c r="I451" s="1"/>
      <c r="J451" s="1"/>
      <c r="K451" s="1"/>
      <c r="L451" s="1"/>
      <c r="M451" s="16"/>
      <c r="N451" s="16"/>
      <c r="O451" s="16"/>
      <c r="P451" s="16"/>
      <c r="Q451" s="17"/>
    </row>
    <row r="452" customFormat="false" ht="14.25" hidden="false" customHeight="false" outlineLevel="0" collapsed="false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6"/>
      <c r="N452" s="16"/>
      <c r="O452" s="16"/>
      <c r="P452" s="16"/>
      <c r="Q452" s="17"/>
    </row>
    <row r="453" customFormat="false" ht="14.25" hidden="false" customHeight="false" outlineLevel="0" collapsed="false">
      <c r="A453" s="1" t="n">
        <v>139340</v>
      </c>
      <c r="B453" s="1" t="str">
        <f aca="false">LOOKUP($A453,peticiones!$C$2:$C$999,peticiones!E$2:E$999)</f>
        <v>Otras Peticiones ANS</v>
      </c>
      <c r="C453" s="1" t="n">
        <f aca="false">LOOKUP($A453,peticiones!$C$2:$C$999,peticiones!F$2:F$999)</f>
        <v>0</v>
      </c>
      <c r="D453" s="1" t="n">
        <f aca="false">LOOKUP($A453,peticiones!$C$2:$C$999,peticiones!G$2:G$999)</f>
        <v>0</v>
      </c>
      <c r="E453" s="1"/>
      <c r="F453" s="1"/>
      <c r="G453" s="1"/>
      <c r="H453" s="1"/>
      <c r="I453" s="1"/>
      <c r="J453" s="1"/>
      <c r="K453" s="1"/>
      <c r="L453" s="1"/>
      <c r="M453" s="16"/>
      <c r="N453" s="16"/>
      <c r="O453" s="16"/>
      <c r="P453" s="16"/>
      <c r="Q453" s="17"/>
    </row>
    <row r="454" customFormat="false" ht="14.25" hidden="false" customHeight="false" outlineLevel="0" collapsed="false">
      <c r="A454" s="1" t="n">
        <v>139341</v>
      </c>
      <c r="B454" s="1" t="str">
        <f aca="false">LOOKUP($A454,peticiones!$C$2:$C$999,peticiones!E$2:E$999)</f>
        <v>Otras Peticiones ANS</v>
      </c>
      <c r="C454" s="1" t="n">
        <f aca="false">LOOKUP($A454,peticiones!$C$2:$C$999,peticiones!F$2:F$999)</f>
        <v>0</v>
      </c>
      <c r="D454" s="1" t="n">
        <f aca="false">LOOKUP($A454,peticiones!$C$2:$C$999,peticiones!G$2:G$999)</f>
        <v>0</v>
      </c>
      <c r="E454" s="1"/>
      <c r="F454" s="1"/>
      <c r="G454" s="1"/>
      <c r="H454" s="1"/>
      <c r="I454" s="1"/>
      <c r="J454" s="1"/>
      <c r="K454" s="1"/>
      <c r="L454" s="1"/>
      <c r="M454" s="16"/>
      <c r="N454" s="16"/>
      <c r="O454" s="16"/>
      <c r="P454" s="16"/>
      <c r="Q454" s="17"/>
    </row>
    <row r="455" customFormat="false" ht="14.25" hidden="false" customHeight="false" outlineLevel="0" collapsed="false">
      <c r="A455" s="1" t="n">
        <v>139342</v>
      </c>
      <c r="B455" s="1" t="str">
        <f aca="false">LOOKUP($A455,peticiones!$C$2:$C$999,peticiones!E$2:E$999)</f>
        <v>Otras Peticiones ANS</v>
      </c>
      <c r="C455" s="1" t="n">
        <f aca="false">LOOKUP($A455,peticiones!$C$2:$C$999,peticiones!F$2:F$999)</f>
        <v>0</v>
      </c>
      <c r="D455" s="1" t="n">
        <f aca="false">LOOKUP($A455,peticiones!$C$2:$C$999,peticiones!G$2:G$999)</f>
        <v>0</v>
      </c>
      <c r="E455" s="1"/>
      <c r="F455" s="1"/>
      <c r="G455" s="1"/>
      <c r="H455" s="1"/>
      <c r="I455" s="1"/>
      <c r="J455" s="1"/>
      <c r="K455" s="1"/>
      <c r="L455" s="1"/>
      <c r="M455" s="16"/>
      <c r="N455" s="16"/>
      <c r="O455" s="16"/>
      <c r="P455" s="16"/>
      <c r="Q455" s="17"/>
    </row>
    <row r="456" customFormat="false" ht="14.25" hidden="false" customHeight="false" outlineLevel="0" collapsed="false">
      <c r="A456" s="1" t="n">
        <v>139343</v>
      </c>
      <c r="B456" s="1" t="str">
        <f aca="false">LOOKUP($A456,peticiones!$C$2:$C$999,peticiones!E$2:E$999)</f>
        <v>Otras Peticiones ANS</v>
      </c>
      <c r="C456" s="1" t="n">
        <f aca="false">LOOKUP($A456,peticiones!$C$2:$C$999,peticiones!F$2:F$999)</f>
        <v>0</v>
      </c>
      <c r="D456" s="1" t="n">
        <f aca="false">LOOKUP($A456,peticiones!$C$2:$C$999,peticiones!G$2:G$999)</f>
        <v>0</v>
      </c>
      <c r="E456" s="1"/>
      <c r="F456" s="1"/>
      <c r="G456" s="1"/>
      <c r="H456" s="1"/>
      <c r="I456" s="1"/>
      <c r="J456" s="1"/>
      <c r="K456" s="1"/>
      <c r="L456" s="1"/>
      <c r="M456" s="16"/>
      <c r="N456" s="16"/>
      <c r="O456" s="16"/>
      <c r="P456" s="16"/>
      <c r="Q456" s="17"/>
    </row>
    <row r="457" customFormat="false" ht="14.25" hidden="false" customHeight="false" outlineLevel="0" collapsed="false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6"/>
      <c r="N457" s="16"/>
      <c r="O457" s="16"/>
      <c r="P457" s="16"/>
      <c r="Q457" s="17"/>
    </row>
    <row r="458" customFormat="false" ht="14.25" hidden="false" customHeight="false" outlineLevel="0" collapsed="false">
      <c r="A458" s="1" t="n">
        <v>139348</v>
      </c>
      <c r="B458" s="1" t="str">
        <f aca="false">LOOKUP($A458,peticiones!$C$2:$C$999,peticiones!E$2:E$999)</f>
        <v>Otras Peticiones ANS</v>
      </c>
      <c r="C458" s="1" t="n">
        <f aca="false">LOOKUP($A458,peticiones!$C$2:$C$999,peticiones!F$2:F$999)</f>
        <v>0</v>
      </c>
      <c r="D458" s="1" t="n">
        <f aca="false">LOOKUP($A458,peticiones!$C$2:$C$999,peticiones!G$2:G$999)</f>
        <v>0</v>
      </c>
      <c r="E458" s="1"/>
      <c r="F458" s="1"/>
      <c r="G458" s="1"/>
      <c r="H458" s="1"/>
      <c r="I458" s="1"/>
      <c r="J458" s="1"/>
      <c r="K458" s="1"/>
      <c r="L458" s="1"/>
      <c r="M458" s="16"/>
      <c r="N458" s="16"/>
      <c r="O458" s="16"/>
      <c r="P458" s="16"/>
      <c r="Q458" s="17"/>
    </row>
    <row r="459" customFormat="false" ht="14.25" hidden="false" customHeight="false" outlineLevel="0" collapsed="false">
      <c r="A459" s="1" t="n">
        <v>139349</v>
      </c>
      <c r="B459" s="1" t="str">
        <f aca="false">LOOKUP($A459,peticiones!$C$2:$C$999,peticiones!E$2:E$999)</f>
        <v>Otras Peticiones ANS</v>
      </c>
      <c r="C459" s="1" t="n">
        <f aca="false">LOOKUP($A459,peticiones!$C$2:$C$999,peticiones!F$2:F$999)</f>
        <v>0</v>
      </c>
      <c r="D459" s="1" t="n">
        <f aca="false">LOOKUP($A459,peticiones!$C$2:$C$999,peticiones!G$2:G$999)</f>
        <v>0</v>
      </c>
      <c r="E459" s="1"/>
      <c r="F459" s="1"/>
      <c r="G459" s="1"/>
      <c r="H459" s="1"/>
      <c r="I459" s="1"/>
      <c r="J459" s="1"/>
      <c r="K459" s="1"/>
      <c r="L459" s="1"/>
      <c r="M459" s="16"/>
      <c r="N459" s="16"/>
      <c r="O459" s="16"/>
      <c r="P459" s="16"/>
      <c r="Q459" s="17"/>
    </row>
    <row r="460" customFormat="false" ht="14.25" hidden="false" customHeight="false" outlineLevel="0" collapsed="false">
      <c r="A460" s="1" t="n">
        <v>139353</v>
      </c>
      <c r="B460" s="1" t="str">
        <f aca="false">LOOKUP($A460,peticiones!$C$2:$C$999,peticiones!E$2:E$999)</f>
        <v>Otras Peticiones ANS</v>
      </c>
      <c r="C460" s="1" t="n">
        <f aca="false">LOOKUP($A460,peticiones!$C$2:$C$999,peticiones!F$2:F$999)</f>
        <v>0</v>
      </c>
      <c r="D460" s="1" t="n">
        <f aca="false">LOOKUP($A460,peticiones!$C$2:$C$999,peticiones!G$2:G$999)</f>
        <v>0</v>
      </c>
      <c r="E460" s="1"/>
      <c r="F460" s="1"/>
      <c r="G460" s="1"/>
      <c r="H460" s="1"/>
      <c r="I460" s="1"/>
      <c r="J460" s="1"/>
      <c r="K460" s="1"/>
      <c r="L460" s="1"/>
      <c r="M460" s="16"/>
      <c r="N460" s="16"/>
      <c r="O460" s="16"/>
      <c r="P460" s="16"/>
      <c r="Q460" s="17"/>
    </row>
    <row r="461" customFormat="false" ht="14.25" hidden="false" customHeight="false" outlineLevel="0" collapsed="false">
      <c r="A461" s="1" t="n">
        <v>139356</v>
      </c>
      <c r="B461" s="1" t="str">
        <f aca="false">LOOKUP($A461,peticiones!$C$2:$C$999,peticiones!E$2:E$999)</f>
        <v>Otras Peticiones ANS</v>
      </c>
      <c r="C461" s="1" t="n">
        <f aca="false">LOOKUP($A461,peticiones!$C$2:$C$999,peticiones!F$2:F$999)</f>
        <v>0</v>
      </c>
      <c r="D461" s="1" t="n">
        <f aca="false">LOOKUP($A461,peticiones!$C$2:$C$999,peticiones!G$2:G$999)</f>
        <v>0</v>
      </c>
      <c r="E461" s="1"/>
      <c r="F461" s="1"/>
      <c r="G461" s="1"/>
      <c r="H461" s="1"/>
      <c r="I461" s="1"/>
      <c r="J461" s="1"/>
      <c r="K461" s="1"/>
      <c r="L461" s="1"/>
      <c r="M461" s="16"/>
      <c r="N461" s="16"/>
      <c r="O461" s="16"/>
      <c r="P461" s="16"/>
      <c r="Q461" s="17"/>
    </row>
    <row r="462" customFormat="false" ht="14.25" hidden="false" customHeight="false" outlineLevel="0" collapsed="false">
      <c r="A462" s="1" t="n">
        <v>139357</v>
      </c>
      <c r="B462" s="1" t="str">
        <f aca="false">LOOKUP($A462,peticiones!$C$2:$C$999,peticiones!E$2:E$999)</f>
        <v>Otras Peticiones ANS</v>
      </c>
      <c r="C462" s="1" t="n">
        <f aca="false">LOOKUP($A462,peticiones!$C$2:$C$999,peticiones!F$2:F$999)</f>
        <v>0</v>
      </c>
      <c r="D462" s="1" t="n">
        <f aca="false">LOOKUP($A462,peticiones!$C$2:$C$999,peticiones!G$2:G$999)</f>
        <v>0</v>
      </c>
      <c r="E462" s="1"/>
      <c r="F462" s="1"/>
      <c r="G462" s="1"/>
      <c r="H462" s="1"/>
      <c r="I462" s="1"/>
      <c r="J462" s="1"/>
      <c r="K462" s="1"/>
      <c r="L462" s="1"/>
      <c r="M462" s="16"/>
      <c r="N462" s="16"/>
      <c r="O462" s="16"/>
      <c r="P462" s="16"/>
      <c r="Q462" s="17"/>
    </row>
    <row r="463" customFormat="false" ht="14.25" hidden="false" customHeight="false" outlineLevel="0" collapsed="false">
      <c r="A463" s="1" t="n">
        <v>139358</v>
      </c>
      <c r="B463" s="1" t="str">
        <f aca="false">LOOKUP($A463,peticiones!$C$2:$C$999,peticiones!E$2:E$999)</f>
        <v>Otras Peticiones ANS</v>
      </c>
      <c r="C463" s="1" t="n">
        <f aca="false">LOOKUP($A463,peticiones!$C$2:$C$999,peticiones!F$2:F$999)</f>
        <v>0</v>
      </c>
      <c r="D463" s="1" t="n">
        <f aca="false">LOOKUP($A463,peticiones!$C$2:$C$999,peticiones!G$2:G$999)</f>
        <v>0</v>
      </c>
      <c r="E463" s="1"/>
      <c r="F463" s="1"/>
      <c r="G463" s="1"/>
      <c r="H463" s="1"/>
      <c r="I463" s="1"/>
      <c r="J463" s="1"/>
      <c r="K463" s="1"/>
      <c r="L463" s="1"/>
      <c r="M463" s="16"/>
      <c r="N463" s="16"/>
      <c r="O463" s="16"/>
      <c r="P463" s="16"/>
      <c r="Q463" s="17"/>
    </row>
    <row r="464" customFormat="false" ht="14.25" hidden="false" customHeight="false" outlineLevel="0" collapsed="false">
      <c r="A464" s="1" t="n">
        <v>139359</v>
      </c>
      <c r="B464" s="1" t="str">
        <f aca="false">LOOKUP($A464,peticiones!$C$2:$C$999,peticiones!E$2:E$999)</f>
        <v>Otras Peticiones ANS</v>
      </c>
      <c r="C464" s="1" t="n">
        <f aca="false">LOOKUP($A464,peticiones!$C$2:$C$999,peticiones!F$2:F$999)</f>
        <v>0</v>
      </c>
      <c r="D464" s="1" t="n">
        <f aca="false">LOOKUP($A464,peticiones!$C$2:$C$999,peticiones!G$2:G$999)</f>
        <v>0</v>
      </c>
      <c r="E464" s="1"/>
      <c r="F464" s="1"/>
      <c r="G464" s="1"/>
      <c r="H464" s="1"/>
      <c r="I464" s="1"/>
      <c r="J464" s="1"/>
      <c r="K464" s="1"/>
      <c r="L464" s="1"/>
      <c r="M464" s="16"/>
      <c r="N464" s="16"/>
      <c r="O464" s="16"/>
      <c r="P464" s="16"/>
      <c r="Q464" s="17"/>
    </row>
    <row r="465" customFormat="false" ht="14.25" hidden="false" customHeight="false" outlineLevel="0" collapsed="false">
      <c r="A465" s="1" t="n">
        <v>139360</v>
      </c>
      <c r="B465" s="1" t="str">
        <f aca="false">LOOKUP($A465,peticiones!$C$2:$C$999,peticiones!E$2:E$999)</f>
        <v>Otras Peticiones ANS</v>
      </c>
      <c r="C465" s="1" t="n">
        <f aca="false">LOOKUP($A465,peticiones!$C$2:$C$999,peticiones!F$2:F$999)</f>
        <v>0</v>
      </c>
      <c r="D465" s="1" t="n">
        <f aca="false">LOOKUP($A465,peticiones!$C$2:$C$999,peticiones!G$2:G$999)</f>
        <v>0</v>
      </c>
      <c r="E465" s="1"/>
      <c r="F465" s="1"/>
      <c r="G465" s="1"/>
      <c r="H465" s="1"/>
      <c r="I465" s="1"/>
      <c r="J465" s="1"/>
      <c r="K465" s="1"/>
      <c r="L465" s="1"/>
      <c r="M465" s="16"/>
      <c r="N465" s="16"/>
      <c r="O465" s="16"/>
      <c r="P465" s="16"/>
      <c r="Q465" s="17"/>
    </row>
    <row r="466" customFormat="false" ht="14.25" hidden="false" customHeight="false" outlineLevel="0" collapsed="false">
      <c r="A466" s="1" t="n">
        <v>139365</v>
      </c>
      <c r="B466" s="1" t="str">
        <f aca="false">LOOKUP($A466,peticiones!$C$2:$C$999,peticiones!E$2:E$999)</f>
        <v>Otras Peticiones ANS</v>
      </c>
      <c r="C466" s="1" t="n">
        <f aca="false">LOOKUP($A466,peticiones!$C$2:$C$999,peticiones!F$2:F$999)</f>
        <v>0</v>
      </c>
      <c r="D466" s="1" t="n">
        <f aca="false">LOOKUP($A466,peticiones!$C$2:$C$999,peticiones!G$2:G$999)</f>
        <v>0</v>
      </c>
      <c r="E466" s="1"/>
      <c r="F466" s="1"/>
      <c r="G466" s="1"/>
      <c r="H466" s="1"/>
      <c r="I466" s="1"/>
      <c r="J466" s="1"/>
      <c r="K466" s="1"/>
      <c r="L466" s="1"/>
      <c r="M466" s="16"/>
      <c r="N466" s="16"/>
      <c r="O466" s="16"/>
      <c r="P466" s="16"/>
      <c r="Q466" s="17"/>
    </row>
    <row r="467" customFormat="false" ht="14.25" hidden="false" customHeight="false" outlineLevel="0" collapsed="false">
      <c r="A467" s="1" t="n">
        <v>139366</v>
      </c>
      <c r="B467" s="1" t="str">
        <f aca="false">LOOKUP($A467,peticiones!$C$2:$C$999,peticiones!E$2:E$999)</f>
        <v>Otras Peticiones ANS</v>
      </c>
      <c r="C467" s="1" t="n">
        <f aca="false">LOOKUP($A467,peticiones!$C$2:$C$999,peticiones!F$2:F$999)</f>
        <v>0</v>
      </c>
      <c r="D467" s="1" t="n">
        <f aca="false">LOOKUP($A467,peticiones!$C$2:$C$999,peticiones!G$2:G$999)</f>
        <v>0</v>
      </c>
      <c r="E467" s="1"/>
      <c r="F467" s="1"/>
      <c r="G467" s="1"/>
      <c r="H467" s="1"/>
      <c r="I467" s="1"/>
      <c r="J467" s="1"/>
      <c r="K467" s="1"/>
      <c r="L467" s="1"/>
      <c r="M467" s="16"/>
      <c r="N467" s="16"/>
      <c r="O467" s="16"/>
      <c r="P467" s="16"/>
      <c r="Q467" s="17"/>
    </row>
    <row r="468" customFormat="false" ht="14.25" hidden="false" customHeight="false" outlineLevel="0" collapsed="false">
      <c r="A468" s="1" t="n">
        <v>139368</v>
      </c>
      <c r="B468" s="1" t="str">
        <f aca="false">LOOKUP($A468,peticiones!$C$2:$C$999,peticiones!E$2:E$999)</f>
        <v>Otras Peticiones ANS</v>
      </c>
      <c r="C468" s="1" t="n">
        <f aca="false">LOOKUP($A468,peticiones!$C$2:$C$999,peticiones!F$2:F$999)</f>
        <v>0</v>
      </c>
      <c r="D468" s="1" t="n">
        <f aca="false">LOOKUP($A468,peticiones!$C$2:$C$999,peticiones!G$2:G$999)</f>
        <v>0</v>
      </c>
      <c r="E468" s="1"/>
      <c r="F468" s="1"/>
      <c r="G468" s="1"/>
      <c r="H468" s="1"/>
      <c r="I468" s="1"/>
      <c r="J468" s="1"/>
      <c r="K468" s="1"/>
      <c r="L468" s="1"/>
      <c r="M468" s="16"/>
      <c r="N468" s="16"/>
      <c r="O468" s="16"/>
      <c r="P468" s="16"/>
      <c r="Q468" s="17"/>
    </row>
    <row r="469" customFormat="false" ht="14.25" hidden="false" customHeight="false" outlineLevel="0" collapsed="false">
      <c r="A469" s="1" t="n">
        <v>139369</v>
      </c>
      <c r="B469" s="1" t="str">
        <f aca="false">LOOKUP($A469,peticiones!$C$2:$C$999,peticiones!E$2:E$999)</f>
        <v>Otras Peticiones ANS</v>
      </c>
      <c r="C469" s="1" t="n">
        <f aca="false">LOOKUP($A469,peticiones!$C$2:$C$999,peticiones!F$2:F$999)</f>
        <v>0</v>
      </c>
      <c r="D469" s="1" t="n">
        <f aca="false">LOOKUP($A469,peticiones!$C$2:$C$999,peticiones!G$2:G$999)</f>
        <v>0</v>
      </c>
      <c r="E469" s="1"/>
      <c r="F469" s="1"/>
      <c r="G469" s="1"/>
      <c r="H469" s="1"/>
      <c r="I469" s="1"/>
      <c r="J469" s="1"/>
      <c r="K469" s="1"/>
      <c r="L469" s="1"/>
      <c r="M469" s="16"/>
      <c r="N469" s="16"/>
      <c r="O469" s="16"/>
      <c r="P469" s="16"/>
      <c r="Q469" s="17"/>
    </row>
    <row r="470" customFormat="false" ht="14.25" hidden="false" customHeight="false" outlineLevel="0" collapsed="false">
      <c r="A470" s="1" t="n">
        <v>139370</v>
      </c>
      <c r="B470" s="1" t="str">
        <f aca="false">LOOKUP($A470,peticiones!$C$2:$C$999,peticiones!E$2:E$999)</f>
        <v>Otras Peticiones ANS</v>
      </c>
      <c r="C470" s="1" t="n">
        <f aca="false">LOOKUP($A470,peticiones!$C$2:$C$999,peticiones!F$2:F$999)</f>
        <v>0</v>
      </c>
      <c r="D470" s="1" t="n">
        <f aca="false">LOOKUP($A470,peticiones!$C$2:$C$999,peticiones!G$2:G$999)</f>
        <v>0</v>
      </c>
      <c r="E470" s="1"/>
      <c r="F470" s="1"/>
      <c r="G470" s="1"/>
      <c r="H470" s="1"/>
      <c r="I470" s="1"/>
      <c r="J470" s="1"/>
      <c r="K470" s="1"/>
      <c r="L470" s="1"/>
      <c r="M470" s="16"/>
      <c r="N470" s="16"/>
      <c r="O470" s="16"/>
      <c r="P470" s="16"/>
      <c r="Q470" s="17"/>
    </row>
    <row r="471" customFormat="false" ht="14.25" hidden="false" customHeight="false" outlineLevel="0" collapsed="false">
      <c r="A471" s="1" t="n">
        <v>139373</v>
      </c>
      <c r="B471" s="1" t="str">
        <f aca="false">LOOKUP($A471,peticiones!$C$2:$C$999,peticiones!E$2:E$999)</f>
        <v>Otras Peticiones ANS</v>
      </c>
      <c r="C471" s="1" t="n">
        <f aca="false">LOOKUP($A471,peticiones!$C$2:$C$999,peticiones!F$2:F$999)</f>
        <v>0</v>
      </c>
      <c r="D471" s="1" t="n">
        <f aca="false">LOOKUP($A471,peticiones!$C$2:$C$999,peticiones!G$2:G$999)</f>
        <v>0</v>
      </c>
      <c r="E471" s="1"/>
      <c r="F471" s="1"/>
      <c r="G471" s="1"/>
      <c r="H471" s="1"/>
      <c r="I471" s="1"/>
      <c r="J471" s="1"/>
      <c r="K471" s="1"/>
      <c r="L471" s="1"/>
      <c r="M471" s="16"/>
      <c r="N471" s="16"/>
      <c r="O471" s="16"/>
      <c r="P471" s="16"/>
      <c r="Q471" s="17"/>
    </row>
    <row r="472" customFormat="false" ht="14.25" hidden="false" customHeight="false" outlineLevel="0" collapsed="false">
      <c r="A472" s="1" t="n">
        <v>139375</v>
      </c>
      <c r="B472" s="1" t="str">
        <f aca="false">LOOKUP($A472,peticiones!$C$2:$C$999,peticiones!E$2:E$999)</f>
        <v>Otras Peticiones ANS</v>
      </c>
      <c r="C472" s="1" t="n">
        <f aca="false">LOOKUP($A472,peticiones!$C$2:$C$999,peticiones!F$2:F$999)</f>
        <v>0</v>
      </c>
      <c r="D472" s="1" t="n">
        <f aca="false">LOOKUP($A472,peticiones!$C$2:$C$999,peticiones!G$2:G$999)</f>
        <v>0</v>
      </c>
      <c r="E472" s="1"/>
      <c r="F472" s="1"/>
      <c r="G472" s="1"/>
      <c r="H472" s="1"/>
      <c r="I472" s="1"/>
      <c r="J472" s="1"/>
      <c r="K472" s="1"/>
      <c r="L472" s="1"/>
      <c r="M472" s="16"/>
      <c r="N472" s="16"/>
      <c r="O472" s="16"/>
      <c r="P472" s="16"/>
      <c r="Q472" s="17"/>
    </row>
    <row r="473" customFormat="false" ht="14.25" hidden="false" customHeight="false" outlineLevel="0" collapsed="false">
      <c r="A473" s="1" t="n">
        <v>139377</v>
      </c>
      <c r="B473" s="1" t="str">
        <f aca="false">LOOKUP($A473,peticiones!$C$2:$C$999,peticiones!E$2:E$999)</f>
        <v>Otras Peticiones ANS</v>
      </c>
      <c r="C473" s="1" t="n">
        <f aca="false">LOOKUP($A473,peticiones!$C$2:$C$999,peticiones!F$2:F$999)</f>
        <v>0</v>
      </c>
      <c r="D473" s="1" t="n">
        <f aca="false">LOOKUP($A473,peticiones!$C$2:$C$999,peticiones!G$2:G$999)</f>
        <v>0</v>
      </c>
      <c r="E473" s="1"/>
      <c r="F473" s="1"/>
      <c r="G473" s="1"/>
      <c r="H473" s="1"/>
      <c r="I473" s="1"/>
      <c r="J473" s="1"/>
      <c r="K473" s="1"/>
      <c r="L473" s="1"/>
      <c r="M473" s="16"/>
      <c r="N473" s="16"/>
      <c r="O473" s="16"/>
      <c r="P473" s="16"/>
      <c r="Q473" s="17"/>
    </row>
    <row r="474" customFormat="false" ht="14.25" hidden="false" customHeight="false" outlineLevel="0" collapsed="false">
      <c r="A474" s="1" t="n">
        <v>139378</v>
      </c>
      <c r="B474" s="1" t="str">
        <f aca="false">LOOKUP($A474,peticiones!$C$2:$C$999,peticiones!E$2:E$999)</f>
        <v>Otras Peticiones ANS</v>
      </c>
      <c r="C474" s="1" t="n">
        <f aca="false">LOOKUP($A474,peticiones!$C$2:$C$999,peticiones!F$2:F$999)</f>
        <v>0</v>
      </c>
      <c r="D474" s="1" t="n">
        <f aca="false">LOOKUP($A474,peticiones!$C$2:$C$999,peticiones!G$2:G$999)</f>
        <v>0</v>
      </c>
      <c r="E474" s="1"/>
      <c r="F474" s="1"/>
      <c r="G474" s="1"/>
      <c r="H474" s="1"/>
      <c r="I474" s="1"/>
      <c r="J474" s="1"/>
      <c r="K474" s="1"/>
      <c r="L474" s="1"/>
      <c r="M474" s="16"/>
      <c r="N474" s="16"/>
      <c r="O474" s="16"/>
      <c r="P474" s="16"/>
      <c r="Q474" s="17"/>
    </row>
    <row r="475" customFormat="false" ht="14.25" hidden="false" customHeight="false" outlineLevel="0" collapsed="false">
      <c r="A475" s="1" t="n">
        <v>139379</v>
      </c>
      <c r="B475" s="1" t="str">
        <f aca="false">LOOKUP($A475,peticiones!$C$2:$C$999,peticiones!E$2:E$999)</f>
        <v>Otras Peticiones ANS</v>
      </c>
      <c r="C475" s="1" t="n">
        <f aca="false">LOOKUP($A475,peticiones!$C$2:$C$999,peticiones!F$2:F$999)</f>
        <v>0</v>
      </c>
      <c r="D475" s="1" t="n">
        <f aca="false">LOOKUP($A475,peticiones!$C$2:$C$999,peticiones!G$2:G$999)</f>
        <v>0</v>
      </c>
      <c r="E475" s="1"/>
      <c r="F475" s="1"/>
      <c r="G475" s="1"/>
      <c r="H475" s="1"/>
      <c r="I475" s="1"/>
      <c r="J475" s="1"/>
      <c r="K475" s="1"/>
      <c r="L475" s="1"/>
      <c r="M475" s="16"/>
      <c r="N475" s="16"/>
      <c r="O475" s="16"/>
      <c r="P475" s="16"/>
      <c r="Q475" s="17"/>
    </row>
    <row r="476" customFormat="false" ht="14.25" hidden="false" customHeight="false" outlineLevel="0" collapsed="false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6"/>
      <c r="N476" s="16"/>
      <c r="O476" s="16"/>
      <c r="P476" s="16"/>
      <c r="Q476" s="17"/>
    </row>
    <row r="477" customFormat="false" ht="14.25" hidden="false" customHeight="false" outlineLevel="0" collapsed="false">
      <c r="A477" s="1" t="n">
        <v>139382</v>
      </c>
      <c r="B477" s="1" t="str">
        <f aca="false">LOOKUP($A477,peticiones!$C$2:$C$999,peticiones!E$2:E$999)</f>
        <v>Otras Peticiones ANS</v>
      </c>
      <c r="C477" s="1" t="n">
        <f aca="false">LOOKUP($A477,peticiones!$C$2:$C$999,peticiones!F$2:F$999)</f>
        <v>0</v>
      </c>
      <c r="D477" s="1" t="n">
        <f aca="false">LOOKUP($A477,peticiones!$C$2:$C$999,peticiones!G$2:G$999)</f>
        <v>0</v>
      </c>
      <c r="E477" s="1"/>
      <c r="F477" s="1"/>
      <c r="G477" s="1"/>
      <c r="H477" s="1"/>
      <c r="I477" s="1"/>
      <c r="J477" s="1"/>
      <c r="K477" s="1"/>
      <c r="L477" s="1"/>
      <c r="M477" s="16"/>
      <c r="N477" s="16"/>
      <c r="O477" s="16"/>
      <c r="P477" s="16"/>
      <c r="Q477" s="17"/>
    </row>
    <row r="478" customFormat="false" ht="14.25" hidden="false" customHeight="false" outlineLevel="0" collapsed="false">
      <c r="A478" s="1" t="n">
        <v>139384</v>
      </c>
      <c r="B478" s="1" t="str">
        <f aca="false">LOOKUP($A478,peticiones!$C$2:$C$999,peticiones!E$2:E$999)</f>
        <v>Otras Peticiones ANS</v>
      </c>
      <c r="C478" s="1" t="n">
        <f aca="false">LOOKUP($A478,peticiones!$C$2:$C$999,peticiones!F$2:F$999)</f>
        <v>0</v>
      </c>
      <c r="D478" s="1" t="n">
        <f aca="false">LOOKUP($A478,peticiones!$C$2:$C$999,peticiones!G$2:G$999)</f>
        <v>0</v>
      </c>
      <c r="E478" s="1"/>
      <c r="F478" s="1"/>
      <c r="G478" s="1"/>
      <c r="H478" s="1"/>
      <c r="I478" s="1"/>
      <c r="J478" s="1"/>
      <c r="K478" s="1"/>
      <c r="L478" s="1"/>
      <c r="M478" s="16"/>
      <c r="N478" s="16"/>
      <c r="O478" s="16"/>
      <c r="P478" s="16"/>
      <c r="Q478" s="17"/>
    </row>
    <row r="479" customFormat="false" ht="14.25" hidden="false" customHeight="false" outlineLevel="0" collapsed="false">
      <c r="A479" s="1" t="n">
        <v>139387</v>
      </c>
      <c r="B479" s="1" t="str">
        <f aca="false">LOOKUP($A479,peticiones!$C$2:$C$999,peticiones!E$2:E$999)</f>
        <v>Otras Peticiones ANS</v>
      </c>
      <c r="C479" s="1" t="n">
        <f aca="false">LOOKUP($A479,peticiones!$C$2:$C$999,peticiones!F$2:F$999)</f>
        <v>0</v>
      </c>
      <c r="D479" s="1" t="n">
        <f aca="false">LOOKUP($A479,peticiones!$C$2:$C$999,peticiones!G$2:G$999)</f>
        <v>0</v>
      </c>
      <c r="E479" s="1"/>
      <c r="F479" s="1"/>
      <c r="G479" s="1"/>
      <c r="H479" s="1"/>
      <c r="I479" s="1"/>
      <c r="J479" s="1"/>
      <c r="K479" s="1"/>
      <c r="L479" s="1"/>
      <c r="M479" s="16"/>
      <c r="N479" s="16"/>
      <c r="O479" s="16"/>
      <c r="P479" s="16"/>
      <c r="Q479" s="17"/>
    </row>
    <row r="480" customFormat="false" ht="14.25" hidden="false" customHeight="false" outlineLevel="0" collapsed="false">
      <c r="A480" s="1" t="n">
        <v>139388</v>
      </c>
      <c r="B480" s="1" t="str">
        <f aca="false">LOOKUP($A480,peticiones!$C$2:$C$999,peticiones!E$2:E$999)</f>
        <v>Otras Peticiones ANS</v>
      </c>
      <c r="C480" s="1" t="n">
        <f aca="false">LOOKUP($A480,peticiones!$C$2:$C$999,peticiones!F$2:F$999)</f>
        <v>0</v>
      </c>
      <c r="D480" s="1" t="n">
        <f aca="false">LOOKUP($A480,peticiones!$C$2:$C$999,peticiones!G$2:G$999)</f>
        <v>0</v>
      </c>
      <c r="E480" s="1"/>
      <c r="F480" s="1"/>
      <c r="G480" s="1"/>
      <c r="H480" s="1"/>
      <c r="I480" s="1"/>
      <c r="J480" s="1"/>
      <c r="K480" s="1"/>
      <c r="L480" s="1"/>
      <c r="M480" s="16"/>
      <c r="N480" s="16"/>
      <c r="O480" s="16"/>
      <c r="P480" s="16"/>
      <c r="Q480" s="17"/>
    </row>
    <row r="481" customFormat="false" ht="14.25" hidden="false" customHeight="false" outlineLevel="0" collapsed="false">
      <c r="A481" s="1" t="n">
        <v>139390</v>
      </c>
      <c r="B481" s="1" t="str">
        <f aca="false">LOOKUP($A481,peticiones!$C$2:$C$999,peticiones!E$2:E$999)</f>
        <v>Otras Peticiones ANS</v>
      </c>
      <c r="C481" s="1" t="n">
        <f aca="false">LOOKUP($A481,peticiones!$C$2:$C$999,peticiones!F$2:F$999)</f>
        <v>0</v>
      </c>
      <c r="D481" s="1" t="n">
        <f aca="false">LOOKUP($A481,peticiones!$C$2:$C$999,peticiones!G$2:G$999)</f>
        <v>0</v>
      </c>
      <c r="E481" s="1"/>
      <c r="F481" s="1"/>
      <c r="G481" s="1"/>
      <c r="H481" s="1"/>
      <c r="I481" s="1"/>
      <c r="J481" s="1"/>
      <c r="K481" s="1"/>
      <c r="L481" s="1"/>
      <c r="M481" s="16"/>
      <c r="N481" s="16"/>
      <c r="O481" s="16"/>
      <c r="P481" s="16"/>
      <c r="Q481" s="17"/>
    </row>
    <row r="482" customFormat="false" ht="14.25" hidden="false" customHeight="false" outlineLevel="0" collapsed="false">
      <c r="A482" s="1" t="n">
        <v>139391</v>
      </c>
      <c r="B482" s="1" t="str">
        <f aca="false">LOOKUP($A482,peticiones!$C$2:$C$999,peticiones!E$2:E$999)</f>
        <v>Otras Peticiones ANS</v>
      </c>
      <c r="C482" s="1" t="n">
        <f aca="false">LOOKUP($A482,peticiones!$C$2:$C$999,peticiones!F$2:F$999)</f>
        <v>0</v>
      </c>
      <c r="D482" s="1" t="n">
        <f aca="false">LOOKUP($A482,peticiones!$C$2:$C$999,peticiones!G$2:G$999)</f>
        <v>0</v>
      </c>
      <c r="E482" s="1"/>
      <c r="F482" s="1"/>
      <c r="G482" s="1"/>
      <c r="H482" s="1"/>
      <c r="I482" s="1"/>
      <c r="J482" s="1"/>
      <c r="K482" s="1"/>
      <c r="L482" s="1"/>
      <c r="M482" s="16"/>
      <c r="N482" s="16"/>
      <c r="O482" s="16"/>
      <c r="P482" s="16"/>
      <c r="Q482" s="17"/>
    </row>
    <row r="483" customFormat="false" ht="14.25" hidden="false" customHeight="false" outlineLevel="0" collapsed="false">
      <c r="A483" s="1" t="n">
        <v>139393</v>
      </c>
      <c r="B483" s="1" t="str">
        <f aca="false">LOOKUP($A483,peticiones!$C$2:$C$999,peticiones!E$2:E$999)</f>
        <v>Otras Peticiones ANS</v>
      </c>
      <c r="C483" s="1" t="n">
        <f aca="false">LOOKUP($A483,peticiones!$C$2:$C$999,peticiones!F$2:F$999)</f>
        <v>0</v>
      </c>
      <c r="D483" s="1" t="n">
        <f aca="false">LOOKUP($A483,peticiones!$C$2:$C$999,peticiones!G$2:G$999)</f>
        <v>0</v>
      </c>
      <c r="E483" s="1"/>
      <c r="F483" s="1"/>
      <c r="G483" s="1"/>
      <c r="H483" s="1"/>
      <c r="I483" s="1"/>
      <c r="J483" s="1"/>
      <c r="K483" s="1"/>
      <c r="L483" s="1"/>
      <c r="M483" s="16"/>
      <c r="N483" s="16"/>
      <c r="O483" s="16"/>
      <c r="P483" s="16"/>
      <c r="Q483" s="17"/>
    </row>
    <row r="484" customFormat="false" ht="14.25" hidden="false" customHeight="false" outlineLevel="0" collapsed="false">
      <c r="A484" s="1" t="n">
        <v>139396</v>
      </c>
      <c r="B484" s="1" t="str">
        <f aca="false">LOOKUP($A484,peticiones!$C$2:$C$999,peticiones!E$2:E$999)</f>
        <v>Otras Peticiones ANS</v>
      </c>
      <c r="C484" s="1" t="n">
        <f aca="false">LOOKUP($A484,peticiones!$C$2:$C$999,peticiones!F$2:F$999)</f>
        <v>0</v>
      </c>
      <c r="D484" s="1" t="n">
        <f aca="false">LOOKUP($A484,peticiones!$C$2:$C$999,peticiones!G$2:G$999)</f>
        <v>0</v>
      </c>
      <c r="E484" s="1"/>
      <c r="F484" s="1"/>
      <c r="G484" s="1"/>
      <c r="H484" s="1"/>
      <c r="I484" s="1"/>
      <c r="J484" s="1"/>
      <c r="K484" s="1"/>
      <c r="L484" s="1"/>
      <c r="M484" s="16"/>
      <c r="N484" s="16"/>
      <c r="O484" s="16"/>
      <c r="P484" s="16"/>
      <c r="Q484" s="17"/>
    </row>
    <row r="485" customFormat="false" ht="14.25" hidden="false" customHeight="false" outlineLevel="0" collapsed="false">
      <c r="A485" s="1" t="n">
        <v>139398</v>
      </c>
      <c r="B485" s="1" t="str">
        <f aca="false">LOOKUP($A485,peticiones!$C$2:$C$999,peticiones!E$2:E$999)</f>
        <v>Otras Peticiones ANS</v>
      </c>
      <c r="C485" s="1" t="n">
        <f aca="false">LOOKUP($A485,peticiones!$C$2:$C$999,peticiones!F$2:F$999)</f>
        <v>0</v>
      </c>
      <c r="D485" s="1" t="n">
        <f aca="false">LOOKUP($A485,peticiones!$C$2:$C$999,peticiones!G$2:G$999)</f>
        <v>0</v>
      </c>
      <c r="E485" s="1"/>
      <c r="F485" s="1"/>
      <c r="G485" s="1"/>
      <c r="H485" s="1"/>
      <c r="I485" s="1"/>
      <c r="J485" s="1"/>
      <c r="K485" s="1"/>
      <c r="L485" s="1"/>
      <c r="M485" s="16"/>
      <c r="N485" s="16"/>
      <c r="O485" s="16"/>
      <c r="P485" s="16"/>
      <c r="Q485" s="17"/>
    </row>
    <row r="486" customFormat="false" ht="14.25" hidden="false" customHeight="false" outlineLevel="0" collapsed="false">
      <c r="A486" s="1" t="n">
        <v>139399</v>
      </c>
      <c r="B486" s="1" t="str">
        <f aca="false">LOOKUP($A486,peticiones!$C$2:$C$999,peticiones!E$2:E$999)</f>
        <v>Otras Peticiones ANS</v>
      </c>
      <c r="C486" s="1" t="n">
        <f aca="false">LOOKUP($A486,peticiones!$C$2:$C$999,peticiones!F$2:F$999)</f>
        <v>0</v>
      </c>
      <c r="D486" s="1" t="n">
        <f aca="false">LOOKUP($A486,peticiones!$C$2:$C$999,peticiones!G$2:G$999)</f>
        <v>0</v>
      </c>
      <c r="E486" s="1"/>
      <c r="F486" s="1"/>
      <c r="G486" s="1"/>
      <c r="H486" s="1"/>
      <c r="I486" s="1"/>
      <c r="J486" s="1"/>
      <c r="K486" s="1"/>
      <c r="L486" s="1"/>
      <c r="M486" s="16"/>
      <c r="N486" s="16"/>
      <c r="O486" s="16"/>
      <c r="P486" s="16"/>
      <c r="Q486" s="17"/>
    </row>
    <row r="487" customFormat="false" ht="14.25" hidden="false" customHeight="false" outlineLevel="0" collapsed="false">
      <c r="A487" s="1" t="n">
        <v>139404</v>
      </c>
      <c r="B487" s="1" t="str">
        <f aca="false">LOOKUP($A487,peticiones!$C$2:$C$999,peticiones!E$2:E$999)</f>
        <v>Otras Peticiones ANS</v>
      </c>
      <c r="C487" s="1" t="n">
        <f aca="false">LOOKUP($A487,peticiones!$C$2:$C$999,peticiones!F$2:F$999)</f>
        <v>0</v>
      </c>
      <c r="D487" s="1" t="n">
        <f aca="false">LOOKUP($A487,peticiones!$C$2:$C$999,peticiones!G$2:G$999)</f>
        <v>0</v>
      </c>
      <c r="E487" s="1"/>
      <c r="F487" s="1"/>
      <c r="G487" s="1"/>
      <c r="H487" s="1"/>
      <c r="I487" s="1"/>
      <c r="J487" s="1"/>
      <c r="K487" s="1"/>
      <c r="L487" s="1"/>
      <c r="M487" s="16"/>
      <c r="N487" s="16"/>
      <c r="O487" s="16"/>
      <c r="P487" s="16"/>
      <c r="Q487" s="17"/>
    </row>
    <row r="488" customFormat="false" ht="14.25" hidden="false" customHeight="false" outlineLevel="0" collapsed="false">
      <c r="A488" s="1" t="n">
        <v>139405</v>
      </c>
      <c r="B488" s="1" t="str">
        <f aca="false">LOOKUP($A488,peticiones!$C$2:$C$999,peticiones!E$2:E$999)</f>
        <v>Otras Peticiones ANS</v>
      </c>
      <c r="C488" s="1" t="n">
        <f aca="false">LOOKUP($A488,peticiones!$C$2:$C$999,peticiones!F$2:F$999)</f>
        <v>0</v>
      </c>
      <c r="D488" s="1" t="n">
        <f aca="false">LOOKUP($A488,peticiones!$C$2:$C$999,peticiones!G$2:G$999)</f>
        <v>0</v>
      </c>
      <c r="E488" s="1"/>
      <c r="F488" s="1"/>
      <c r="G488" s="1"/>
      <c r="H488" s="1"/>
      <c r="I488" s="1"/>
      <c r="J488" s="1"/>
      <c r="K488" s="1"/>
      <c r="L488" s="1"/>
      <c r="M488" s="16"/>
      <c r="N488" s="16"/>
      <c r="O488" s="16"/>
      <c r="P488" s="16"/>
      <c r="Q488" s="17"/>
    </row>
    <row r="489" customFormat="false" ht="14.25" hidden="false" customHeight="false" outlineLevel="0" collapsed="false">
      <c r="A489" s="1" t="n">
        <v>139406</v>
      </c>
      <c r="B489" s="1" t="str">
        <f aca="false">LOOKUP($A489,peticiones!$C$2:$C$999,peticiones!E$2:E$999)</f>
        <v>Otras Peticiones ANS</v>
      </c>
      <c r="C489" s="1" t="n">
        <f aca="false">LOOKUP($A489,peticiones!$C$2:$C$999,peticiones!F$2:F$999)</f>
        <v>0</v>
      </c>
      <c r="D489" s="1" t="n">
        <f aca="false">LOOKUP($A489,peticiones!$C$2:$C$999,peticiones!G$2:G$999)</f>
        <v>0</v>
      </c>
      <c r="E489" s="1"/>
      <c r="F489" s="1"/>
      <c r="G489" s="1"/>
      <c r="H489" s="1"/>
      <c r="I489" s="1"/>
      <c r="J489" s="1"/>
      <c r="K489" s="1"/>
      <c r="L489" s="1"/>
      <c r="M489" s="16"/>
      <c r="N489" s="16"/>
      <c r="O489" s="16"/>
      <c r="P489" s="16"/>
      <c r="Q489" s="17"/>
    </row>
    <row r="490" customFormat="false" ht="14.25" hidden="false" customHeight="false" outlineLevel="0" collapsed="false">
      <c r="A490" s="1" t="n">
        <v>139407</v>
      </c>
      <c r="B490" s="1" t="str">
        <f aca="false">LOOKUP($A490,peticiones!$C$2:$C$999,peticiones!E$2:E$999)</f>
        <v>Otras Peticiones ANS</v>
      </c>
      <c r="C490" s="1" t="n">
        <f aca="false">LOOKUP($A490,peticiones!$C$2:$C$999,peticiones!F$2:F$999)</f>
        <v>0</v>
      </c>
      <c r="D490" s="1" t="n">
        <f aca="false">LOOKUP($A490,peticiones!$C$2:$C$999,peticiones!G$2:G$999)</f>
        <v>0</v>
      </c>
      <c r="E490" s="1"/>
      <c r="F490" s="1"/>
      <c r="G490" s="1"/>
      <c r="H490" s="1"/>
      <c r="I490" s="1"/>
      <c r="J490" s="1"/>
      <c r="K490" s="1"/>
      <c r="L490" s="1"/>
      <c r="M490" s="16"/>
      <c r="N490" s="16"/>
      <c r="O490" s="16"/>
      <c r="P490" s="16"/>
      <c r="Q490" s="17"/>
    </row>
    <row r="491" customFormat="false" ht="14.25" hidden="false" customHeight="false" outlineLevel="0" collapsed="false">
      <c r="A491" s="1" t="n">
        <v>139408</v>
      </c>
      <c r="B491" s="1" t="str">
        <f aca="false">LOOKUP($A491,peticiones!$C$2:$C$999,peticiones!E$2:E$999)</f>
        <v>Otras Peticiones ANS</v>
      </c>
      <c r="C491" s="1" t="n">
        <f aca="false">LOOKUP($A491,peticiones!$C$2:$C$999,peticiones!F$2:F$999)</f>
        <v>0</v>
      </c>
      <c r="D491" s="1" t="n">
        <f aca="false">LOOKUP($A491,peticiones!$C$2:$C$999,peticiones!G$2:G$999)</f>
        <v>0</v>
      </c>
      <c r="E491" s="1"/>
      <c r="F491" s="1"/>
      <c r="G491" s="1"/>
      <c r="H491" s="1"/>
      <c r="I491" s="1"/>
      <c r="J491" s="1"/>
      <c r="K491" s="1"/>
      <c r="L491" s="1"/>
      <c r="M491" s="16"/>
      <c r="N491" s="16"/>
      <c r="O491" s="16"/>
      <c r="P491" s="16"/>
      <c r="Q491" s="17"/>
    </row>
    <row r="492" customFormat="false" ht="14.25" hidden="false" customHeight="false" outlineLevel="0" collapsed="false">
      <c r="A492" s="1" t="n">
        <v>139409</v>
      </c>
      <c r="B492" s="1" t="str">
        <f aca="false">LOOKUP($A492,peticiones!$C$2:$C$999,peticiones!E$2:E$999)</f>
        <v>Otras Peticiones ANS</v>
      </c>
      <c r="C492" s="1" t="n">
        <f aca="false">LOOKUP($A492,peticiones!$C$2:$C$999,peticiones!F$2:F$999)</f>
        <v>0</v>
      </c>
      <c r="D492" s="1" t="n">
        <f aca="false">LOOKUP($A492,peticiones!$C$2:$C$999,peticiones!G$2:G$999)</f>
        <v>0</v>
      </c>
      <c r="E492" s="1"/>
      <c r="F492" s="1"/>
      <c r="G492" s="1"/>
      <c r="H492" s="1"/>
      <c r="I492" s="1"/>
      <c r="J492" s="1"/>
      <c r="K492" s="1"/>
      <c r="L492" s="1"/>
      <c r="M492" s="16"/>
      <c r="N492" s="16"/>
      <c r="O492" s="16"/>
      <c r="P492" s="16"/>
      <c r="Q492" s="17"/>
    </row>
    <row r="493" customFormat="false" ht="14.25" hidden="false" customHeight="false" outlineLevel="0" collapsed="false">
      <c r="A493" s="1" t="n">
        <v>139411</v>
      </c>
      <c r="B493" s="1" t="str">
        <f aca="false">LOOKUP($A493,peticiones!$C$2:$C$999,peticiones!E$2:E$999)</f>
        <v>Otras Peticiones ANS</v>
      </c>
      <c r="C493" s="1" t="n">
        <f aca="false">LOOKUP($A493,peticiones!$C$2:$C$999,peticiones!F$2:F$999)</f>
        <v>0</v>
      </c>
      <c r="D493" s="1" t="n">
        <f aca="false">LOOKUP($A493,peticiones!$C$2:$C$999,peticiones!G$2:G$999)</f>
        <v>0</v>
      </c>
      <c r="E493" s="1"/>
      <c r="F493" s="1"/>
      <c r="G493" s="1"/>
      <c r="H493" s="1"/>
      <c r="I493" s="1"/>
      <c r="J493" s="1"/>
      <c r="K493" s="1"/>
      <c r="L493" s="1"/>
      <c r="M493" s="16"/>
      <c r="N493" s="16"/>
      <c r="O493" s="16"/>
      <c r="P493" s="16"/>
      <c r="Q493" s="17"/>
    </row>
    <row r="494" customFormat="false" ht="14.25" hidden="false" customHeight="false" outlineLevel="0" collapsed="false">
      <c r="A494" s="1" t="n">
        <v>139412</v>
      </c>
      <c r="B494" s="1" t="str">
        <f aca="false">LOOKUP($A494,peticiones!$C$2:$C$999,peticiones!E$2:E$999)</f>
        <v>Otras Peticiones ANS</v>
      </c>
      <c r="C494" s="1" t="n">
        <f aca="false">LOOKUP($A494,peticiones!$C$2:$C$999,peticiones!F$2:F$999)</f>
        <v>0</v>
      </c>
      <c r="D494" s="1" t="n">
        <f aca="false">LOOKUP($A494,peticiones!$C$2:$C$999,peticiones!G$2:G$999)</f>
        <v>0</v>
      </c>
      <c r="E494" s="1"/>
      <c r="F494" s="1"/>
      <c r="G494" s="1"/>
      <c r="H494" s="1"/>
      <c r="I494" s="1"/>
      <c r="J494" s="1"/>
      <c r="K494" s="1"/>
      <c r="L494" s="1"/>
      <c r="M494" s="16"/>
      <c r="N494" s="16"/>
      <c r="O494" s="16"/>
      <c r="P494" s="16"/>
      <c r="Q494" s="17"/>
    </row>
    <row r="495" customFormat="false" ht="14.25" hidden="false" customHeight="false" outlineLevel="0" collapsed="false">
      <c r="A495" s="1" t="n">
        <v>139414</v>
      </c>
      <c r="B495" s="1" t="str">
        <f aca="false">LOOKUP($A495,peticiones!$C$2:$C$999,peticiones!E$2:E$999)</f>
        <v>Otras Peticiones ANS</v>
      </c>
      <c r="C495" s="1" t="n">
        <f aca="false">LOOKUP($A495,peticiones!$C$2:$C$999,peticiones!F$2:F$999)</f>
        <v>0</v>
      </c>
      <c r="D495" s="1" t="n">
        <f aca="false">LOOKUP($A495,peticiones!$C$2:$C$999,peticiones!G$2:G$999)</f>
        <v>0</v>
      </c>
      <c r="E495" s="1"/>
      <c r="F495" s="1"/>
      <c r="G495" s="1"/>
      <c r="H495" s="1"/>
      <c r="I495" s="1"/>
      <c r="J495" s="1"/>
      <c r="K495" s="1"/>
      <c r="L495" s="1"/>
      <c r="M495" s="16"/>
      <c r="N495" s="16"/>
      <c r="O495" s="16"/>
      <c r="P495" s="16"/>
      <c r="Q495" s="17"/>
    </row>
    <row r="496" customFormat="false" ht="14.25" hidden="false" customHeight="false" outlineLevel="0" collapsed="false">
      <c r="A496" s="1" t="n">
        <v>139420</v>
      </c>
      <c r="B496" s="1" t="str">
        <f aca="false">LOOKUP($A496,peticiones!$C$2:$C$999,peticiones!E$2:E$999)</f>
        <v>Otras Peticiones ANS</v>
      </c>
      <c r="C496" s="1" t="n">
        <f aca="false">LOOKUP($A496,peticiones!$C$2:$C$999,peticiones!F$2:F$999)</f>
        <v>0</v>
      </c>
      <c r="D496" s="1" t="n">
        <f aca="false">LOOKUP($A496,peticiones!$C$2:$C$999,peticiones!G$2:G$999)</f>
        <v>0</v>
      </c>
      <c r="E496" s="1"/>
      <c r="F496" s="1"/>
      <c r="G496" s="1"/>
      <c r="H496" s="1"/>
      <c r="I496" s="1"/>
      <c r="J496" s="1"/>
      <c r="K496" s="1"/>
      <c r="L496" s="1"/>
      <c r="M496" s="16"/>
      <c r="N496" s="16"/>
      <c r="O496" s="16"/>
      <c r="P496" s="16"/>
      <c r="Q496" s="17"/>
    </row>
    <row r="497" customFormat="false" ht="14.25" hidden="false" customHeight="false" outlineLevel="0" collapsed="false">
      <c r="A497" s="1" t="n">
        <v>139421</v>
      </c>
      <c r="B497" s="1" t="str">
        <f aca="false">LOOKUP($A497,peticiones!$C$2:$C$999,peticiones!E$2:E$999)</f>
        <v>Otras Peticiones ANS</v>
      </c>
      <c r="C497" s="1" t="n">
        <f aca="false">LOOKUP($A497,peticiones!$C$2:$C$999,peticiones!F$2:F$999)</f>
        <v>0</v>
      </c>
      <c r="D497" s="1" t="n">
        <f aca="false">LOOKUP($A497,peticiones!$C$2:$C$999,peticiones!G$2:G$999)</f>
        <v>0</v>
      </c>
      <c r="E497" s="1"/>
      <c r="F497" s="1"/>
      <c r="G497" s="1"/>
      <c r="H497" s="1"/>
      <c r="I497" s="1"/>
      <c r="J497" s="1"/>
      <c r="K497" s="1"/>
      <c r="L497" s="1"/>
      <c r="M497" s="16"/>
      <c r="N497" s="16"/>
      <c r="O497" s="16"/>
      <c r="P497" s="16"/>
      <c r="Q497" s="17"/>
    </row>
    <row r="498" customFormat="false" ht="14.25" hidden="false" customHeight="false" outlineLevel="0" collapsed="false">
      <c r="A498" s="1" t="n">
        <v>139422</v>
      </c>
      <c r="B498" s="1" t="str">
        <f aca="false">LOOKUP($A498,peticiones!$C$2:$C$999,peticiones!E$2:E$999)</f>
        <v>Otras Peticiones ANS</v>
      </c>
      <c r="C498" s="1" t="n">
        <f aca="false">LOOKUP($A498,peticiones!$C$2:$C$999,peticiones!F$2:F$999)</f>
        <v>0</v>
      </c>
      <c r="D498" s="1" t="n">
        <f aca="false">LOOKUP($A498,peticiones!$C$2:$C$999,peticiones!G$2:G$999)</f>
        <v>0</v>
      </c>
      <c r="E498" s="1"/>
      <c r="F498" s="1"/>
      <c r="G498" s="1"/>
      <c r="H498" s="1"/>
      <c r="I498" s="1"/>
      <c r="J498" s="1"/>
      <c r="K498" s="1"/>
      <c r="L498" s="1"/>
      <c r="M498" s="16"/>
      <c r="N498" s="16"/>
      <c r="O498" s="16"/>
      <c r="P498" s="16"/>
      <c r="Q498" s="17"/>
    </row>
    <row r="499" customFormat="false" ht="14.25" hidden="false" customHeight="false" outlineLevel="0" collapsed="false">
      <c r="A499" s="1" t="n">
        <v>139423</v>
      </c>
      <c r="B499" s="1" t="str">
        <f aca="false">LOOKUP($A499,peticiones!$C$2:$C$999,peticiones!E$2:E$999)</f>
        <v>Otras Peticiones ANS</v>
      </c>
      <c r="C499" s="1" t="n">
        <f aca="false">LOOKUP($A499,peticiones!$C$2:$C$999,peticiones!F$2:F$999)</f>
        <v>0</v>
      </c>
      <c r="D499" s="1" t="n">
        <f aca="false">LOOKUP($A499,peticiones!$C$2:$C$999,peticiones!G$2:G$999)</f>
        <v>0</v>
      </c>
      <c r="E499" s="1"/>
      <c r="F499" s="1"/>
      <c r="G499" s="1"/>
      <c r="H499" s="1"/>
      <c r="I499" s="1"/>
      <c r="J499" s="1"/>
      <c r="K499" s="1"/>
      <c r="L499" s="1"/>
      <c r="M499" s="16"/>
      <c r="N499" s="16"/>
      <c r="O499" s="16"/>
      <c r="P499" s="16"/>
      <c r="Q499" s="17"/>
    </row>
    <row r="500" customFormat="false" ht="14.25" hidden="false" customHeight="false" outlineLevel="0" collapsed="false">
      <c r="A500" s="1" t="n">
        <v>139424</v>
      </c>
      <c r="B500" s="1" t="str">
        <f aca="false">LOOKUP($A500,peticiones!$C$2:$C$999,peticiones!E$2:E$999)</f>
        <v>Otras Peticiones ANS</v>
      </c>
      <c r="C500" s="1" t="n">
        <f aca="false">LOOKUP($A500,peticiones!$C$2:$C$999,peticiones!F$2:F$999)</f>
        <v>0</v>
      </c>
      <c r="D500" s="1" t="n">
        <f aca="false">LOOKUP($A500,peticiones!$C$2:$C$999,peticiones!G$2:G$999)</f>
        <v>0</v>
      </c>
      <c r="E500" s="1"/>
      <c r="F500" s="1"/>
      <c r="G500" s="1"/>
      <c r="H500" s="1"/>
      <c r="I500" s="1"/>
      <c r="J500" s="1"/>
      <c r="K500" s="1"/>
      <c r="L500" s="1"/>
      <c r="M500" s="16"/>
      <c r="N500" s="16"/>
      <c r="O500" s="16"/>
      <c r="P500" s="16"/>
      <c r="Q500" s="17"/>
    </row>
    <row r="501" customFormat="false" ht="14.25" hidden="false" customHeight="false" outlineLevel="0" collapsed="false">
      <c r="A501" s="1" t="n">
        <v>139427</v>
      </c>
      <c r="B501" s="1" t="str">
        <f aca="false">LOOKUP($A501,peticiones!$C$2:$C$999,peticiones!E$2:E$999)</f>
        <v>Otras Peticiones ANS</v>
      </c>
      <c r="C501" s="1" t="n">
        <f aca="false">LOOKUP($A501,peticiones!$C$2:$C$999,peticiones!F$2:F$999)</f>
        <v>0</v>
      </c>
      <c r="D501" s="1" t="n">
        <f aca="false">LOOKUP($A501,peticiones!$C$2:$C$999,peticiones!G$2:G$999)</f>
        <v>0</v>
      </c>
      <c r="E501" s="1"/>
      <c r="F501" s="1"/>
      <c r="G501" s="1"/>
      <c r="H501" s="1"/>
      <c r="I501" s="1"/>
      <c r="J501" s="1"/>
      <c r="K501" s="1"/>
      <c r="L501" s="1"/>
      <c r="M501" s="16"/>
      <c r="N501" s="16"/>
      <c r="O501" s="16"/>
      <c r="P501" s="16"/>
      <c r="Q501" s="17"/>
    </row>
    <row r="502" customFormat="false" ht="14.25" hidden="false" customHeight="false" outlineLevel="0" collapsed="false">
      <c r="A502" s="1" t="n">
        <v>139428</v>
      </c>
      <c r="B502" s="1" t="str">
        <f aca="false">LOOKUP($A502,peticiones!$C$2:$C$999,peticiones!E$2:E$999)</f>
        <v>Otras Peticiones ANS</v>
      </c>
      <c r="C502" s="1" t="n">
        <f aca="false">LOOKUP($A502,peticiones!$C$2:$C$999,peticiones!F$2:F$999)</f>
        <v>0</v>
      </c>
      <c r="D502" s="1" t="n">
        <f aca="false">LOOKUP($A502,peticiones!$C$2:$C$999,peticiones!G$2:G$999)</f>
        <v>0</v>
      </c>
      <c r="E502" s="1"/>
      <c r="F502" s="1"/>
      <c r="G502" s="1"/>
      <c r="H502" s="1"/>
      <c r="I502" s="1"/>
      <c r="J502" s="1"/>
      <c r="K502" s="1"/>
      <c r="L502" s="1"/>
      <c r="M502" s="16"/>
      <c r="N502" s="16"/>
      <c r="O502" s="16"/>
      <c r="P502" s="16"/>
      <c r="Q502" s="17"/>
    </row>
    <row r="503" customFormat="false" ht="14.25" hidden="false" customHeight="false" outlineLevel="0" collapsed="false">
      <c r="A503" s="1" t="n">
        <v>139431</v>
      </c>
      <c r="B503" s="1" t="str">
        <f aca="false">LOOKUP($A503,peticiones!$C$2:$C$999,peticiones!E$2:E$999)</f>
        <v>Otras Peticiones ANS</v>
      </c>
      <c r="C503" s="1" t="n">
        <f aca="false">LOOKUP($A503,peticiones!$C$2:$C$999,peticiones!F$2:F$999)</f>
        <v>0</v>
      </c>
      <c r="D503" s="1" t="n">
        <f aca="false">LOOKUP($A503,peticiones!$C$2:$C$999,peticiones!G$2:G$999)</f>
        <v>0</v>
      </c>
      <c r="E503" s="1"/>
      <c r="F503" s="1"/>
      <c r="G503" s="1"/>
      <c r="H503" s="1"/>
      <c r="I503" s="1"/>
      <c r="J503" s="1"/>
      <c r="K503" s="1"/>
      <c r="L503" s="1"/>
      <c r="M503" s="16"/>
      <c r="N503" s="16"/>
      <c r="O503" s="16"/>
      <c r="P503" s="16"/>
      <c r="Q503" s="17"/>
    </row>
    <row r="504" customFormat="false" ht="14.25" hidden="false" customHeight="false" outlineLevel="0" collapsed="false">
      <c r="A504" s="1" t="n">
        <v>139433</v>
      </c>
      <c r="B504" s="1" t="str">
        <f aca="false">LOOKUP($A504,peticiones!$C$2:$C$999,peticiones!E$2:E$999)</f>
        <v>Otras Peticiones ANS</v>
      </c>
      <c r="C504" s="1" t="n">
        <f aca="false">LOOKUP($A504,peticiones!$C$2:$C$999,peticiones!F$2:F$999)</f>
        <v>0</v>
      </c>
      <c r="D504" s="1" t="n">
        <f aca="false">LOOKUP($A504,peticiones!$C$2:$C$999,peticiones!G$2:G$999)</f>
        <v>0</v>
      </c>
      <c r="E504" s="1"/>
      <c r="F504" s="1"/>
      <c r="G504" s="1"/>
      <c r="H504" s="1"/>
      <c r="I504" s="1"/>
      <c r="J504" s="1"/>
      <c r="K504" s="1"/>
      <c r="L504" s="1"/>
      <c r="M504" s="16"/>
      <c r="N504" s="16"/>
      <c r="O504" s="16"/>
      <c r="P504" s="16"/>
      <c r="Q504" s="17"/>
    </row>
    <row r="505" customFormat="false" ht="14.25" hidden="false" customHeight="false" outlineLevel="0" collapsed="false">
      <c r="A505" s="1" t="n">
        <v>139434</v>
      </c>
      <c r="B505" s="1" t="str">
        <f aca="false">LOOKUP($A505,peticiones!$C$2:$C$999,peticiones!E$2:E$999)</f>
        <v>Otras Peticiones ANS</v>
      </c>
      <c r="C505" s="1" t="n">
        <f aca="false">LOOKUP($A505,peticiones!$C$2:$C$999,peticiones!F$2:F$999)</f>
        <v>0</v>
      </c>
      <c r="D505" s="1" t="n">
        <f aca="false">LOOKUP($A505,peticiones!$C$2:$C$999,peticiones!G$2:G$999)</f>
        <v>0</v>
      </c>
      <c r="E505" s="1"/>
      <c r="F505" s="1"/>
      <c r="G505" s="1"/>
      <c r="H505" s="1"/>
      <c r="I505" s="1"/>
      <c r="J505" s="1"/>
      <c r="K505" s="1"/>
      <c r="L505" s="1"/>
      <c r="M505" s="16"/>
      <c r="N505" s="16"/>
      <c r="O505" s="16"/>
      <c r="P505" s="16"/>
      <c r="Q505" s="17"/>
    </row>
    <row r="506" customFormat="false" ht="14.25" hidden="false" customHeight="false" outlineLevel="0" collapsed="false">
      <c r="A506" s="1" t="n">
        <v>139435</v>
      </c>
      <c r="B506" s="1" t="str">
        <f aca="false">LOOKUP($A506,peticiones!$C$2:$C$999,peticiones!E$2:E$999)</f>
        <v>Otras Peticiones ANS</v>
      </c>
      <c r="C506" s="1" t="n">
        <f aca="false">LOOKUP($A506,peticiones!$C$2:$C$999,peticiones!F$2:F$999)</f>
        <v>0</v>
      </c>
      <c r="D506" s="1" t="n">
        <f aca="false">LOOKUP($A506,peticiones!$C$2:$C$999,peticiones!G$2:G$999)</f>
        <v>0</v>
      </c>
      <c r="E506" s="1"/>
      <c r="F506" s="1"/>
      <c r="G506" s="1"/>
      <c r="H506" s="1"/>
      <c r="I506" s="1"/>
      <c r="J506" s="1"/>
      <c r="K506" s="1"/>
      <c r="L506" s="1"/>
      <c r="M506" s="16"/>
      <c r="N506" s="16"/>
      <c r="O506" s="16"/>
      <c r="P506" s="16"/>
      <c r="Q506" s="17"/>
    </row>
    <row r="507" customFormat="false" ht="14.25" hidden="false" customHeight="false" outlineLevel="0" collapsed="false">
      <c r="A507" s="1" t="n">
        <v>139437</v>
      </c>
      <c r="B507" s="1" t="str">
        <f aca="false">LOOKUP($A507,peticiones!$C$2:$C$999,peticiones!E$2:E$999)</f>
        <v>Otras Peticiones ANS</v>
      </c>
      <c r="C507" s="1" t="n">
        <f aca="false">LOOKUP($A507,peticiones!$C$2:$C$999,peticiones!F$2:F$999)</f>
        <v>0</v>
      </c>
      <c r="D507" s="1" t="n">
        <f aca="false">LOOKUP($A507,peticiones!$C$2:$C$999,peticiones!G$2:G$999)</f>
        <v>0</v>
      </c>
      <c r="E507" s="1"/>
      <c r="F507" s="1"/>
      <c r="G507" s="1"/>
      <c r="H507" s="1"/>
      <c r="I507" s="1"/>
      <c r="J507" s="1"/>
      <c r="K507" s="1"/>
      <c r="L507" s="1"/>
      <c r="M507" s="16"/>
      <c r="N507" s="16"/>
      <c r="O507" s="16"/>
      <c r="P507" s="16"/>
      <c r="Q507" s="17"/>
    </row>
    <row r="508" customFormat="false" ht="14.25" hidden="false" customHeight="false" outlineLevel="0" collapsed="false">
      <c r="A508" s="1" t="n">
        <v>139439</v>
      </c>
      <c r="B508" s="1" t="str">
        <f aca="false">LOOKUP($A508,peticiones!$C$2:$C$999,peticiones!E$2:E$999)</f>
        <v>Otras Peticiones ANS</v>
      </c>
      <c r="C508" s="1" t="n">
        <f aca="false">LOOKUP($A508,peticiones!$C$2:$C$999,peticiones!F$2:F$999)</f>
        <v>0</v>
      </c>
      <c r="D508" s="1" t="n">
        <f aca="false">LOOKUP($A508,peticiones!$C$2:$C$999,peticiones!G$2:G$999)</f>
        <v>0</v>
      </c>
      <c r="E508" s="1"/>
      <c r="F508" s="1"/>
      <c r="G508" s="1"/>
      <c r="H508" s="1"/>
      <c r="I508" s="1"/>
      <c r="J508" s="1"/>
      <c r="K508" s="1"/>
      <c r="L508" s="1"/>
      <c r="M508" s="16"/>
      <c r="N508" s="16"/>
      <c r="O508" s="16"/>
      <c r="P508" s="16"/>
      <c r="Q508" s="17"/>
    </row>
    <row r="509" customFormat="false" ht="14.25" hidden="false" customHeight="false" outlineLevel="0" collapsed="false">
      <c r="A509" s="1" t="n">
        <v>139440</v>
      </c>
      <c r="B509" s="1" t="str">
        <f aca="false">LOOKUP($A509,peticiones!$C$2:$C$999,peticiones!E$2:E$999)</f>
        <v>Otras Peticiones ANS</v>
      </c>
      <c r="C509" s="1" t="n">
        <f aca="false">LOOKUP($A509,peticiones!$C$2:$C$999,peticiones!F$2:F$999)</f>
        <v>0</v>
      </c>
      <c r="D509" s="1" t="n">
        <f aca="false">LOOKUP($A509,peticiones!$C$2:$C$999,peticiones!G$2:G$999)</f>
        <v>0</v>
      </c>
      <c r="E509" s="1"/>
      <c r="F509" s="1"/>
      <c r="G509" s="1"/>
      <c r="H509" s="1"/>
      <c r="I509" s="1"/>
      <c r="J509" s="1"/>
      <c r="K509" s="1"/>
      <c r="L509" s="1"/>
      <c r="M509" s="16"/>
      <c r="N509" s="16"/>
      <c r="O509" s="16"/>
      <c r="P509" s="16"/>
      <c r="Q509" s="17"/>
    </row>
    <row r="510" customFormat="false" ht="14.25" hidden="false" customHeight="false" outlineLevel="0" collapsed="false">
      <c r="A510" s="1" t="n">
        <v>139441</v>
      </c>
      <c r="B510" s="1" t="str">
        <f aca="false">LOOKUP($A510,peticiones!$C$2:$C$999,peticiones!E$2:E$999)</f>
        <v>Otras Peticiones ANS</v>
      </c>
      <c r="C510" s="1" t="n">
        <f aca="false">LOOKUP($A510,peticiones!$C$2:$C$999,peticiones!F$2:F$999)</f>
        <v>0</v>
      </c>
      <c r="D510" s="1" t="n">
        <f aca="false">LOOKUP($A510,peticiones!$C$2:$C$999,peticiones!G$2:G$999)</f>
        <v>0</v>
      </c>
      <c r="E510" s="1"/>
      <c r="F510" s="1"/>
      <c r="G510" s="1"/>
      <c r="H510" s="1"/>
      <c r="I510" s="1"/>
      <c r="J510" s="1"/>
      <c r="K510" s="1"/>
      <c r="L510" s="1"/>
      <c r="M510" s="16"/>
      <c r="N510" s="16"/>
      <c r="O510" s="16"/>
      <c r="P510" s="16"/>
      <c r="Q510" s="17"/>
    </row>
    <row r="511" customFormat="false" ht="14.25" hidden="false" customHeight="false" outlineLevel="0" collapsed="false">
      <c r="A511" s="1" t="n">
        <v>139442</v>
      </c>
      <c r="B511" s="1" t="str">
        <f aca="false">LOOKUP($A511,peticiones!$C$2:$C$999,peticiones!E$2:E$999)</f>
        <v>Otras Peticiones ANS</v>
      </c>
      <c r="C511" s="1" t="n">
        <f aca="false">LOOKUP($A511,peticiones!$C$2:$C$999,peticiones!F$2:F$999)</f>
        <v>0</v>
      </c>
      <c r="D511" s="1" t="n">
        <f aca="false">LOOKUP($A511,peticiones!$C$2:$C$999,peticiones!G$2:G$999)</f>
        <v>0</v>
      </c>
      <c r="E511" s="1"/>
      <c r="F511" s="1"/>
      <c r="G511" s="1"/>
      <c r="H511" s="1"/>
      <c r="I511" s="1"/>
      <c r="J511" s="1"/>
      <c r="K511" s="1"/>
      <c r="L511" s="1"/>
      <c r="M511" s="16"/>
      <c r="N511" s="16"/>
      <c r="O511" s="16"/>
      <c r="P511" s="16"/>
      <c r="Q511" s="17"/>
    </row>
    <row r="512" customFormat="false" ht="14.25" hidden="false" customHeight="false" outlineLevel="0" collapsed="false">
      <c r="A512" s="1" t="n">
        <v>139443</v>
      </c>
      <c r="B512" s="1" t="str">
        <f aca="false">LOOKUP($A512,peticiones!$C$2:$C$999,peticiones!E$2:E$999)</f>
        <v>Otras Peticiones ANS</v>
      </c>
      <c r="C512" s="1" t="n">
        <f aca="false">LOOKUP($A512,peticiones!$C$2:$C$999,peticiones!F$2:F$999)</f>
        <v>0</v>
      </c>
      <c r="D512" s="1" t="n">
        <f aca="false">LOOKUP($A512,peticiones!$C$2:$C$999,peticiones!G$2:G$999)</f>
        <v>0</v>
      </c>
      <c r="E512" s="1"/>
      <c r="F512" s="1"/>
      <c r="G512" s="1"/>
      <c r="H512" s="1"/>
      <c r="I512" s="1"/>
      <c r="J512" s="1"/>
      <c r="K512" s="1"/>
      <c r="L512" s="1"/>
      <c r="M512" s="16"/>
      <c r="N512" s="16"/>
      <c r="O512" s="16"/>
      <c r="P512" s="16"/>
      <c r="Q512" s="17"/>
    </row>
    <row r="513" customFormat="false" ht="14.25" hidden="false" customHeight="false" outlineLevel="0" collapsed="false">
      <c r="A513" s="1" t="n">
        <v>139444</v>
      </c>
      <c r="B513" s="1" t="str">
        <f aca="false">LOOKUP($A513,peticiones!$C$2:$C$999,peticiones!E$2:E$999)</f>
        <v>Otras Peticiones ANS</v>
      </c>
      <c r="C513" s="1" t="n">
        <f aca="false">LOOKUP($A513,peticiones!$C$2:$C$999,peticiones!F$2:F$999)</f>
        <v>0</v>
      </c>
      <c r="D513" s="1" t="n">
        <f aca="false">LOOKUP($A513,peticiones!$C$2:$C$999,peticiones!G$2:G$999)</f>
        <v>0</v>
      </c>
      <c r="E513" s="1"/>
      <c r="F513" s="1"/>
      <c r="G513" s="1"/>
      <c r="H513" s="1"/>
      <c r="I513" s="1"/>
      <c r="J513" s="1"/>
      <c r="K513" s="1"/>
      <c r="L513" s="1"/>
      <c r="M513" s="16"/>
      <c r="N513" s="16"/>
      <c r="O513" s="16"/>
      <c r="P513" s="16"/>
      <c r="Q513" s="17"/>
    </row>
    <row r="514" customFormat="false" ht="14.25" hidden="false" customHeight="false" outlineLevel="0" collapsed="false">
      <c r="A514" s="1" t="n">
        <v>139445</v>
      </c>
      <c r="B514" s="1" t="str">
        <f aca="false">LOOKUP($A514,peticiones!$C$2:$C$999,peticiones!E$2:E$999)</f>
        <v>Otras Peticiones ANS</v>
      </c>
      <c r="C514" s="1" t="n">
        <f aca="false">LOOKUP($A514,peticiones!$C$2:$C$999,peticiones!F$2:F$999)</f>
        <v>0</v>
      </c>
      <c r="D514" s="1" t="n">
        <f aca="false">LOOKUP($A514,peticiones!$C$2:$C$999,peticiones!G$2:G$999)</f>
        <v>0</v>
      </c>
      <c r="E514" s="1"/>
      <c r="F514" s="1"/>
      <c r="G514" s="1"/>
      <c r="H514" s="1"/>
      <c r="I514" s="1"/>
      <c r="J514" s="1"/>
      <c r="K514" s="1"/>
      <c r="L514" s="1"/>
      <c r="M514" s="16"/>
      <c r="N514" s="16"/>
      <c r="O514" s="16"/>
      <c r="P514" s="16"/>
      <c r="Q514" s="17"/>
    </row>
    <row r="515" customFormat="false" ht="14.25" hidden="false" customHeight="false" outlineLevel="0" collapsed="false">
      <c r="A515" s="1" t="n">
        <v>139446</v>
      </c>
      <c r="B515" s="1" t="str">
        <f aca="false">LOOKUP($A515,peticiones!$C$2:$C$999,peticiones!E$2:E$999)</f>
        <v>Otras Peticiones ANS</v>
      </c>
      <c r="C515" s="1" t="n">
        <f aca="false">LOOKUP($A515,peticiones!$C$2:$C$999,peticiones!F$2:F$999)</f>
        <v>0</v>
      </c>
      <c r="D515" s="1" t="n">
        <f aca="false">LOOKUP($A515,peticiones!$C$2:$C$999,peticiones!G$2:G$999)</f>
        <v>0</v>
      </c>
      <c r="E515" s="1"/>
      <c r="F515" s="1"/>
      <c r="G515" s="1"/>
      <c r="H515" s="1"/>
      <c r="I515" s="1"/>
      <c r="J515" s="1"/>
      <c r="K515" s="1"/>
      <c r="L515" s="1"/>
      <c r="M515" s="16"/>
      <c r="N515" s="16"/>
      <c r="O515" s="16"/>
      <c r="P515" s="16"/>
      <c r="Q515" s="17"/>
    </row>
    <row r="516" customFormat="false" ht="14.25" hidden="false" customHeight="false" outlineLevel="0" collapsed="false">
      <c r="A516" s="1" t="n">
        <v>139447</v>
      </c>
      <c r="B516" s="1" t="str">
        <f aca="false">LOOKUP($A516,peticiones!$C$2:$C$999,peticiones!E$2:E$999)</f>
        <v>Otras Peticiones ANS</v>
      </c>
      <c r="C516" s="1" t="n">
        <f aca="false">LOOKUP($A516,peticiones!$C$2:$C$999,peticiones!F$2:F$999)</f>
        <v>0</v>
      </c>
      <c r="D516" s="1" t="n">
        <f aca="false">LOOKUP($A516,peticiones!$C$2:$C$999,peticiones!G$2:G$999)</f>
        <v>0</v>
      </c>
      <c r="E516" s="1"/>
      <c r="F516" s="1"/>
      <c r="G516" s="1"/>
      <c r="H516" s="1"/>
      <c r="I516" s="1"/>
      <c r="J516" s="1"/>
      <c r="K516" s="1"/>
      <c r="L516" s="1"/>
      <c r="M516" s="16"/>
      <c r="N516" s="16"/>
      <c r="O516" s="16"/>
      <c r="P516" s="16"/>
      <c r="Q516" s="17"/>
    </row>
    <row r="517" customFormat="false" ht="14.25" hidden="false" customHeight="false" outlineLevel="0" collapsed="false">
      <c r="A517" s="1" t="n">
        <v>139449</v>
      </c>
      <c r="B517" s="1" t="str">
        <f aca="false">LOOKUP($A517,peticiones!$C$2:$C$999,peticiones!E$2:E$999)</f>
        <v>Otras Peticiones ANS</v>
      </c>
      <c r="C517" s="1" t="n">
        <f aca="false">LOOKUP($A517,peticiones!$C$2:$C$999,peticiones!F$2:F$999)</f>
        <v>0</v>
      </c>
      <c r="D517" s="1" t="n">
        <f aca="false">LOOKUP($A517,peticiones!$C$2:$C$999,peticiones!G$2:G$999)</f>
        <v>0</v>
      </c>
      <c r="E517" s="1"/>
      <c r="F517" s="1"/>
      <c r="G517" s="1"/>
      <c r="H517" s="1"/>
      <c r="I517" s="1"/>
      <c r="J517" s="1"/>
      <c r="K517" s="1"/>
      <c r="L517" s="1"/>
      <c r="M517" s="16"/>
      <c r="N517" s="16"/>
      <c r="O517" s="16"/>
      <c r="P517" s="16"/>
      <c r="Q517" s="17"/>
    </row>
    <row r="518" customFormat="false" ht="14.25" hidden="false" customHeight="false" outlineLevel="0" collapsed="false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6"/>
      <c r="N518" s="16"/>
      <c r="O518" s="16"/>
      <c r="P518" s="16"/>
      <c r="Q518" s="17"/>
    </row>
    <row r="519" customFormat="false" ht="14.25" hidden="false" customHeight="false" outlineLevel="0" collapsed="false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6"/>
      <c r="N519" s="16"/>
      <c r="O519" s="16"/>
      <c r="P519" s="16"/>
      <c r="Q519" s="17"/>
    </row>
    <row r="520" customFormat="false" ht="14.25" hidden="false" customHeight="false" outlineLevel="0" collapsed="false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6"/>
      <c r="N520" s="16"/>
      <c r="O520" s="16"/>
      <c r="P520" s="16"/>
      <c r="Q520" s="17"/>
    </row>
    <row r="521" customFormat="false" ht="14.25" hidden="false" customHeight="false" outlineLevel="0" collapsed="false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6"/>
      <c r="N521" s="16"/>
      <c r="O521" s="16"/>
      <c r="P521" s="16"/>
      <c r="Q521" s="17"/>
    </row>
    <row r="522" customFormat="false" ht="14.25" hidden="false" customHeight="false" outlineLevel="0" collapsed="false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6"/>
      <c r="N522" s="16"/>
      <c r="O522" s="16"/>
      <c r="P522" s="16"/>
      <c r="Q522" s="17"/>
    </row>
    <row r="523" customFormat="false" ht="14.25" hidden="false" customHeight="false" outlineLevel="0" collapsed="false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6"/>
      <c r="N523" s="16"/>
      <c r="O523" s="16"/>
      <c r="P523" s="16"/>
      <c r="Q523" s="17"/>
    </row>
    <row r="524" customFormat="false" ht="14.25" hidden="false" customHeight="false" outlineLevel="0" collapsed="false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6"/>
      <c r="N524" s="16"/>
      <c r="O524" s="16"/>
      <c r="P524" s="16"/>
      <c r="Q524" s="17"/>
    </row>
    <row r="525" customFormat="false" ht="14.25" hidden="false" customHeight="false" outlineLevel="0" collapsed="false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6"/>
      <c r="N525" s="16"/>
      <c r="O525" s="16"/>
      <c r="P525" s="16"/>
      <c r="Q525" s="17"/>
    </row>
    <row r="526" customFormat="false" ht="14.25" hidden="false" customHeight="false" outlineLevel="0" collapsed="false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6"/>
      <c r="N526" s="16"/>
      <c r="O526" s="16"/>
      <c r="P526" s="16"/>
      <c r="Q526" s="17"/>
    </row>
    <row r="527" customFormat="false" ht="14.25" hidden="false" customHeight="false" outlineLevel="0" collapsed="false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6"/>
      <c r="N527" s="16"/>
      <c r="O527" s="16"/>
      <c r="P527" s="16"/>
      <c r="Q527" s="17"/>
    </row>
    <row r="528" customFormat="false" ht="14.25" hidden="false" customHeight="false" outlineLevel="0" collapsed="false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6"/>
      <c r="N528" s="16"/>
      <c r="O528" s="16"/>
      <c r="P528" s="16"/>
      <c r="Q528" s="17"/>
    </row>
    <row r="529" customFormat="false" ht="14.25" hidden="false" customHeight="false" outlineLevel="0" collapsed="false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6"/>
      <c r="N529" s="16"/>
      <c r="O529" s="16"/>
      <c r="P529" s="16"/>
      <c r="Q529" s="17"/>
    </row>
    <row r="530" customFormat="false" ht="14.25" hidden="false" customHeight="false" outlineLevel="0" collapsed="false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6"/>
      <c r="N530" s="16"/>
      <c r="O530" s="16"/>
      <c r="P530" s="16"/>
      <c r="Q530" s="17"/>
    </row>
    <row r="531" customFormat="false" ht="14.25" hidden="false" customHeight="false" outlineLevel="0" collapsed="false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6"/>
      <c r="N531" s="16"/>
      <c r="O531" s="16"/>
      <c r="P531" s="16"/>
      <c r="Q531" s="17"/>
    </row>
    <row r="532" customFormat="false" ht="14.25" hidden="false" customHeight="false" outlineLevel="0" collapsed="false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6"/>
      <c r="N532" s="16"/>
      <c r="O532" s="16"/>
      <c r="P532" s="16"/>
      <c r="Q532" s="17"/>
    </row>
    <row r="533" customFormat="false" ht="14.25" hidden="false" customHeight="false" outlineLevel="0" collapsed="false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6"/>
      <c r="N533" s="16"/>
      <c r="O533" s="16"/>
      <c r="P533" s="16"/>
      <c r="Q533" s="17"/>
    </row>
    <row r="534" customFormat="false" ht="14.25" hidden="false" customHeight="false" outlineLevel="0" collapsed="false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6"/>
      <c r="N534" s="16"/>
      <c r="O534" s="16"/>
      <c r="P534" s="16"/>
      <c r="Q534" s="17"/>
    </row>
    <row r="535" customFormat="false" ht="14.25" hidden="false" customHeight="false" outlineLevel="0" collapsed="false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6"/>
      <c r="N535" s="16"/>
      <c r="O535" s="16"/>
      <c r="P535" s="16"/>
      <c r="Q535" s="17"/>
    </row>
    <row r="536" customFormat="false" ht="14.25" hidden="false" customHeight="false" outlineLevel="0" collapsed="false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6"/>
      <c r="N536" s="16"/>
      <c r="O536" s="16"/>
      <c r="P536" s="16"/>
      <c r="Q536" s="17"/>
    </row>
    <row r="537" customFormat="false" ht="14.25" hidden="false" customHeight="false" outlineLevel="0" collapsed="false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6"/>
      <c r="N537" s="16"/>
      <c r="O537" s="16"/>
      <c r="P537" s="16"/>
      <c r="Q537" s="17"/>
    </row>
    <row r="538" customFormat="false" ht="14.25" hidden="false" customHeight="false" outlineLevel="0" collapsed="false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6"/>
      <c r="N538" s="16"/>
      <c r="O538" s="16"/>
      <c r="P538" s="16"/>
      <c r="Q538" s="17"/>
    </row>
    <row r="539" customFormat="false" ht="14.25" hidden="false" customHeight="false" outlineLevel="0" collapsed="false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6"/>
      <c r="N539" s="16"/>
      <c r="O539" s="16"/>
      <c r="P539" s="16"/>
      <c r="Q539" s="17"/>
    </row>
    <row r="540" customFormat="false" ht="14.25" hidden="false" customHeight="false" outlineLevel="0" collapsed="false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6"/>
      <c r="N540" s="16"/>
      <c r="O540" s="16"/>
      <c r="P540" s="16"/>
      <c r="Q540" s="17"/>
    </row>
    <row r="541" customFormat="false" ht="14.25" hidden="false" customHeight="false" outlineLevel="0" collapsed="false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6"/>
      <c r="N541" s="16"/>
      <c r="O541" s="16"/>
      <c r="P541" s="16"/>
      <c r="Q541" s="17"/>
    </row>
    <row r="542" customFormat="false" ht="14.25" hidden="false" customHeight="false" outlineLevel="0" collapsed="false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6"/>
      <c r="N542" s="16"/>
      <c r="O542" s="16"/>
      <c r="P542" s="16"/>
      <c r="Q542" s="17"/>
    </row>
    <row r="543" customFormat="false" ht="14.25" hidden="false" customHeight="false" outlineLevel="0" collapsed="false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6"/>
      <c r="N543" s="16"/>
      <c r="O543" s="16"/>
      <c r="P543" s="16"/>
      <c r="Q543" s="17"/>
    </row>
    <row r="544" customFormat="false" ht="14.25" hidden="false" customHeight="false" outlineLevel="0" collapsed="false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6"/>
      <c r="N544" s="16"/>
      <c r="O544" s="16"/>
      <c r="P544" s="16"/>
      <c r="Q544" s="17"/>
    </row>
    <row r="545" customFormat="false" ht="14.25" hidden="false" customHeight="false" outlineLevel="0" collapsed="false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6"/>
      <c r="N545" s="16"/>
      <c r="O545" s="16"/>
      <c r="P545" s="16"/>
      <c r="Q545" s="17"/>
    </row>
    <row r="546" customFormat="false" ht="14.25" hidden="false" customHeight="false" outlineLevel="0" collapsed="false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6"/>
      <c r="N546" s="16"/>
      <c r="O546" s="16"/>
      <c r="P546" s="16"/>
      <c r="Q546" s="17"/>
    </row>
    <row r="547" customFormat="false" ht="14.25" hidden="false" customHeight="false" outlineLevel="0" collapsed="false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6"/>
      <c r="N547" s="16"/>
      <c r="O547" s="16"/>
      <c r="P547" s="16"/>
      <c r="Q547" s="17"/>
    </row>
    <row r="548" customFormat="false" ht="14.25" hidden="false" customHeight="false" outlineLevel="0" collapsed="false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6"/>
      <c r="N548" s="16"/>
      <c r="O548" s="16"/>
      <c r="P548" s="16"/>
      <c r="Q548" s="17"/>
    </row>
    <row r="549" customFormat="false" ht="14.25" hidden="false" customHeight="false" outlineLevel="0" collapsed="false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6"/>
      <c r="N549" s="16"/>
      <c r="O549" s="16"/>
      <c r="P549" s="16"/>
      <c r="Q549" s="17"/>
    </row>
    <row r="550" customFormat="false" ht="14.25" hidden="false" customHeight="false" outlineLevel="0" collapsed="false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6"/>
      <c r="N550" s="16"/>
      <c r="O550" s="16"/>
      <c r="P550" s="16"/>
      <c r="Q550" s="17"/>
    </row>
    <row r="551" customFormat="false" ht="14.25" hidden="false" customHeight="false" outlineLevel="0" collapsed="false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6"/>
      <c r="N551" s="16"/>
      <c r="O551" s="16"/>
      <c r="P551" s="16"/>
      <c r="Q551" s="17"/>
    </row>
    <row r="552" customFormat="false" ht="14.25" hidden="false" customHeight="false" outlineLevel="0" collapsed="false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6"/>
      <c r="N552" s="16"/>
      <c r="O552" s="16"/>
      <c r="P552" s="16"/>
      <c r="Q552" s="17"/>
    </row>
    <row r="553" customFormat="false" ht="14.25" hidden="false" customHeight="false" outlineLevel="0" collapsed="false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6"/>
      <c r="N553" s="16"/>
      <c r="O553" s="16"/>
      <c r="P553" s="16"/>
      <c r="Q553" s="17"/>
    </row>
    <row r="554" customFormat="false" ht="14.25" hidden="false" customHeight="false" outlineLevel="0" collapsed="false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6"/>
      <c r="N554" s="16"/>
      <c r="O554" s="16"/>
      <c r="P554" s="16"/>
      <c r="Q554" s="17"/>
    </row>
    <row r="555" customFormat="false" ht="14.25" hidden="false" customHeight="false" outlineLevel="0" collapsed="false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6"/>
      <c r="N555" s="16"/>
      <c r="O555" s="16"/>
      <c r="P555" s="16"/>
      <c r="Q555" s="17"/>
    </row>
    <row r="556" customFormat="false" ht="14.25" hidden="false" customHeight="false" outlineLevel="0" collapsed="false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6"/>
      <c r="N556" s="16"/>
      <c r="O556" s="16"/>
      <c r="P556" s="16"/>
      <c r="Q556" s="17"/>
    </row>
    <row r="557" customFormat="false" ht="14.25" hidden="false" customHeight="false" outlineLevel="0" collapsed="false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6"/>
      <c r="N557" s="16"/>
      <c r="O557" s="16"/>
      <c r="P557" s="16"/>
      <c r="Q557" s="17"/>
    </row>
    <row r="558" customFormat="false" ht="14.25" hidden="false" customHeight="false" outlineLevel="0" collapsed="false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6"/>
      <c r="N558" s="16"/>
      <c r="O558" s="16"/>
      <c r="P558" s="16"/>
      <c r="Q558" s="17"/>
    </row>
    <row r="559" customFormat="false" ht="14.25" hidden="false" customHeight="false" outlineLevel="0" collapsed="false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6"/>
      <c r="N559" s="16"/>
      <c r="O559" s="16"/>
      <c r="P559" s="16"/>
      <c r="Q559" s="17"/>
    </row>
    <row r="560" customFormat="false" ht="14.25" hidden="false" customHeight="false" outlineLevel="0" collapsed="false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6"/>
      <c r="N560" s="16"/>
      <c r="O560" s="16"/>
      <c r="P560" s="16"/>
      <c r="Q560" s="17"/>
    </row>
    <row r="561" customFormat="false" ht="14.25" hidden="false" customHeight="false" outlineLevel="0" collapsed="false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6"/>
      <c r="N561" s="16"/>
      <c r="O561" s="16"/>
      <c r="P561" s="16"/>
      <c r="Q561" s="17"/>
    </row>
    <row r="562" customFormat="false" ht="14.25" hidden="false" customHeight="false" outlineLevel="0" collapsed="false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6"/>
      <c r="N562" s="16"/>
      <c r="O562" s="16"/>
      <c r="P562" s="16"/>
      <c r="Q562" s="17"/>
    </row>
    <row r="563" customFormat="false" ht="14.25" hidden="false" customHeight="false" outlineLevel="0" collapsed="false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6"/>
      <c r="N563" s="16"/>
      <c r="O563" s="16"/>
      <c r="P563" s="16"/>
      <c r="Q563" s="17"/>
    </row>
    <row r="564" customFormat="false" ht="14.25" hidden="false" customHeight="false" outlineLevel="0" collapsed="false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6"/>
      <c r="N564" s="16"/>
      <c r="O564" s="16"/>
      <c r="P564" s="16"/>
      <c r="Q564" s="17"/>
    </row>
    <row r="565" customFormat="false" ht="14.25" hidden="false" customHeight="false" outlineLevel="0" collapsed="false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6"/>
      <c r="N565" s="16"/>
      <c r="O565" s="16"/>
      <c r="P565" s="16"/>
      <c r="Q565" s="17"/>
    </row>
    <row r="566" customFormat="false" ht="14.25" hidden="false" customHeight="false" outlineLevel="0" collapsed="false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6"/>
      <c r="N566" s="16"/>
      <c r="O566" s="16"/>
      <c r="P566" s="16"/>
      <c r="Q566" s="17"/>
    </row>
    <row r="567" customFormat="false" ht="14.25" hidden="false" customHeight="false" outlineLevel="0" collapsed="false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6"/>
      <c r="N567" s="16"/>
      <c r="O567" s="16"/>
      <c r="P567" s="16"/>
      <c r="Q567" s="17"/>
    </row>
    <row r="568" customFormat="false" ht="14.25" hidden="false" customHeight="false" outlineLevel="0" collapsed="false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6"/>
      <c r="N568" s="16"/>
      <c r="O568" s="16"/>
      <c r="P568" s="16"/>
      <c r="Q568" s="17"/>
    </row>
    <row r="569" customFormat="false" ht="14.25" hidden="false" customHeight="false" outlineLevel="0" collapsed="false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6"/>
      <c r="N569" s="16"/>
      <c r="O569" s="16"/>
      <c r="P569" s="16"/>
      <c r="Q569" s="17"/>
    </row>
    <row r="570" customFormat="false" ht="14.25" hidden="false" customHeight="false" outlineLevel="0" collapsed="false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6"/>
      <c r="N570" s="16"/>
      <c r="O570" s="16"/>
      <c r="P570" s="16"/>
      <c r="Q570" s="17"/>
    </row>
    <row r="571" customFormat="false" ht="14.25" hidden="false" customHeight="false" outlineLevel="0" collapsed="false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6"/>
      <c r="N571" s="16"/>
      <c r="O571" s="16"/>
      <c r="P571" s="16"/>
      <c r="Q571" s="17"/>
    </row>
    <row r="572" customFormat="false" ht="14.25" hidden="false" customHeight="false" outlineLevel="0" collapsed="false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6"/>
      <c r="N572" s="16"/>
      <c r="O572" s="16"/>
      <c r="P572" s="16"/>
      <c r="Q572" s="17"/>
    </row>
    <row r="573" customFormat="false" ht="14.25" hidden="false" customHeight="false" outlineLevel="0" collapsed="false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6"/>
      <c r="N573" s="16"/>
      <c r="O573" s="16"/>
      <c r="P573" s="16"/>
      <c r="Q573" s="17"/>
    </row>
    <row r="574" customFormat="false" ht="14.25" hidden="false" customHeight="false" outlineLevel="0" collapsed="false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6"/>
      <c r="N574" s="16"/>
      <c r="O574" s="16"/>
      <c r="P574" s="16"/>
      <c r="Q574" s="17"/>
    </row>
    <row r="575" customFormat="false" ht="14.25" hidden="false" customHeight="false" outlineLevel="0" collapsed="false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6"/>
      <c r="N575" s="16"/>
      <c r="O575" s="16"/>
      <c r="P575" s="16"/>
      <c r="Q575" s="17"/>
    </row>
    <row r="576" customFormat="false" ht="14.25" hidden="false" customHeight="false" outlineLevel="0" collapsed="false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6"/>
      <c r="N576" s="16"/>
      <c r="O576" s="16"/>
      <c r="P576" s="16"/>
      <c r="Q576" s="17"/>
    </row>
    <row r="577" customFormat="false" ht="14.25" hidden="false" customHeight="false" outlineLevel="0" collapsed="false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6"/>
      <c r="N577" s="16"/>
      <c r="O577" s="16"/>
      <c r="P577" s="16"/>
      <c r="Q577" s="17"/>
    </row>
    <row r="578" customFormat="false" ht="14.25" hidden="false" customHeight="false" outlineLevel="0" collapsed="false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6"/>
      <c r="N578" s="16"/>
      <c r="O578" s="16"/>
      <c r="P578" s="16"/>
      <c r="Q578" s="17"/>
    </row>
    <row r="579" customFormat="false" ht="14.25" hidden="false" customHeight="false" outlineLevel="0" collapsed="false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6"/>
      <c r="N579" s="16"/>
      <c r="O579" s="16"/>
      <c r="P579" s="16"/>
      <c r="Q579" s="17"/>
    </row>
    <row r="580" customFormat="false" ht="14.25" hidden="false" customHeight="false" outlineLevel="0" collapsed="false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6"/>
      <c r="N580" s="16"/>
      <c r="O580" s="16"/>
      <c r="P580" s="16"/>
      <c r="Q580" s="17"/>
    </row>
    <row r="581" customFormat="false" ht="14.25" hidden="false" customHeight="false" outlineLevel="0" collapsed="false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6"/>
      <c r="N581" s="16"/>
      <c r="O581" s="16"/>
      <c r="P581" s="16"/>
      <c r="Q581" s="17"/>
    </row>
    <row r="582" customFormat="false" ht="14.25" hidden="false" customHeight="false" outlineLevel="0" collapsed="false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6"/>
      <c r="N582" s="16"/>
      <c r="O582" s="16"/>
      <c r="P582" s="16"/>
      <c r="Q582" s="17"/>
    </row>
    <row r="583" customFormat="false" ht="14.25" hidden="false" customHeight="false" outlineLevel="0" collapsed="false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6"/>
      <c r="N583" s="16"/>
      <c r="O583" s="16"/>
      <c r="P583" s="16"/>
      <c r="Q583" s="17"/>
    </row>
    <row r="584" customFormat="false" ht="14.25" hidden="false" customHeight="false" outlineLevel="0" collapsed="false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6"/>
      <c r="N584" s="16"/>
      <c r="O584" s="16"/>
      <c r="P584" s="16"/>
      <c r="Q584" s="17"/>
    </row>
    <row r="585" customFormat="false" ht="14.25" hidden="false" customHeight="false" outlineLevel="0" collapsed="false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6"/>
      <c r="N585" s="16"/>
      <c r="O585" s="16"/>
      <c r="P585" s="16"/>
      <c r="Q585" s="17"/>
    </row>
    <row r="586" customFormat="false" ht="14.25" hidden="false" customHeight="false" outlineLevel="0" collapsed="false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6"/>
      <c r="N586" s="16"/>
      <c r="O586" s="16"/>
      <c r="P586" s="16"/>
      <c r="Q586" s="17"/>
    </row>
    <row r="587" customFormat="false" ht="14.25" hidden="false" customHeight="false" outlineLevel="0" collapsed="false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6"/>
      <c r="N587" s="16"/>
      <c r="O587" s="16"/>
      <c r="P587" s="16"/>
      <c r="Q587" s="17"/>
    </row>
    <row r="588" customFormat="false" ht="14.25" hidden="false" customHeight="false" outlineLevel="0" collapsed="false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6"/>
      <c r="N588" s="16"/>
      <c r="O588" s="16"/>
      <c r="P588" s="16"/>
      <c r="Q588" s="17"/>
    </row>
    <row r="589" customFormat="false" ht="14.25" hidden="false" customHeight="false" outlineLevel="0" collapsed="false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6"/>
      <c r="N589" s="16"/>
      <c r="O589" s="16"/>
      <c r="P589" s="16"/>
      <c r="Q589" s="17"/>
    </row>
    <row r="590" customFormat="false" ht="14.25" hidden="false" customHeight="false" outlineLevel="0" collapsed="false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6"/>
      <c r="N590" s="16"/>
      <c r="O590" s="16"/>
      <c r="P590" s="16"/>
      <c r="Q590" s="17"/>
    </row>
    <row r="591" customFormat="false" ht="14.25" hidden="false" customHeight="false" outlineLevel="0" collapsed="false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6"/>
      <c r="N591" s="16"/>
      <c r="O591" s="16"/>
      <c r="P591" s="16"/>
      <c r="Q591" s="17"/>
    </row>
    <row r="592" customFormat="false" ht="14.25" hidden="false" customHeight="false" outlineLevel="0" collapsed="false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6"/>
      <c r="N592" s="16"/>
      <c r="O592" s="16"/>
      <c r="P592" s="16"/>
      <c r="Q592" s="17"/>
    </row>
    <row r="593" customFormat="false" ht="14.25" hidden="false" customHeight="false" outlineLevel="0" collapsed="false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6"/>
      <c r="N593" s="16"/>
      <c r="O593" s="16"/>
      <c r="P593" s="16"/>
      <c r="Q593" s="17"/>
    </row>
    <row r="594" customFormat="false" ht="14.25" hidden="false" customHeight="false" outlineLevel="0" collapsed="false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6"/>
      <c r="N594" s="16"/>
      <c r="O594" s="16"/>
      <c r="P594" s="16"/>
      <c r="Q594" s="17"/>
    </row>
    <row r="595" customFormat="false" ht="14.25" hidden="false" customHeight="false" outlineLevel="0" collapsed="false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6"/>
      <c r="N595" s="16"/>
      <c r="O595" s="16"/>
      <c r="P595" s="16"/>
      <c r="Q595" s="17"/>
    </row>
    <row r="596" customFormat="false" ht="14.25" hidden="false" customHeight="false" outlineLevel="0" collapsed="false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6"/>
      <c r="N596" s="16"/>
      <c r="O596" s="16"/>
      <c r="P596" s="16"/>
      <c r="Q596" s="17"/>
    </row>
    <row r="597" customFormat="false" ht="14.25" hidden="false" customHeight="false" outlineLevel="0" collapsed="false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6"/>
      <c r="N597" s="16"/>
      <c r="O597" s="16"/>
      <c r="P597" s="16"/>
      <c r="Q597" s="17"/>
    </row>
    <row r="598" customFormat="false" ht="14.25" hidden="false" customHeight="false" outlineLevel="0" collapsed="false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6"/>
      <c r="N598" s="16"/>
      <c r="O598" s="16"/>
      <c r="P598" s="16"/>
      <c r="Q598" s="17"/>
    </row>
    <row r="599" customFormat="false" ht="14.25" hidden="false" customHeight="false" outlineLevel="0" collapsed="false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6"/>
      <c r="N599" s="16"/>
      <c r="O599" s="16"/>
      <c r="P599" s="16"/>
      <c r="Q599" s="17"/>
    </row>
    <row r="600" customFormat="false" ht="14.25" hidden="false" customHeight="false" outlineLevel="0" collapsed="false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6"/>
      <c r="N600" s="16"/>
      <c r="O600" s="16"/>
      <c r="P600" s="16"/>
      <c r="Q600" s="17"/>
    </row>
    <row r="601" customFormat="false" ht="14.25" hidden="false" customHeight="false" outlineLevel="0" collapsed="false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6"/>
      <c r="N601" s="16"/>
      <c r="O601" s="16"/>
      <c r="P601" s="16"/>
      <c r="Q601" s="17"/>
    </row>
    <row r="602" customFormat="false" ht="14.25" hidden="false" customHeight="false" outlineLevel="0" collapsed="false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6"/>
      <c r="N602" s="16"/>
      <c r="O602" s="16"/>
      <c r="P602" s="16"/>
      <c r="Q602" s="17"/>
    </row>
    <row r="603" customFormat="false" ht="14.25" hidden="false" customHeight="false" outlineLevel="0" collapsed="false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6"/>
      <c r="N603" s="16"/>
      <c r="O603" s="16"/>
      <c r="P603" s="16"/>
      <c r="Q603" s="17"/>
    </row>
    <row r="604" customFormat="false" ht="14.25" hidden="false" customHeight="false" outlineLevel="0" collapsed="false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6"/>
      <c r="N604" s="16"/>
      <c r="O604" s="16"/>
      <c r="P604" s="16"/>
      <c r="Q604" s="17"/>
    </row>
    <row r="605" customFormat="false" ht="14.25" hidden="false" customHeight="false" outlineLevel="0" collapsed="false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6"/>
      <c r="N605" s="16"/>
      <c r="O605" s="16"/>
      <c r="P605" s="16"/>
      <c r="Q605" s="17"/>
    </row>
    <row r="606" customFormat="false" ht="14.25" hidden="false" customHeight="false" outlineLevel="0" collapsed="false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6"/>
      <c r="N606" s="16"/>
      <c r="O606" s="16"/>
      <c r="P606" s="16"/>
      <c r="Q606" s="17"/>
    </row>
    <row r="607" customFormat="false" ht="14.25" hidden="false" customHeight="false" outlineLevel="0" collapsed="false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6"/>
      <c r="N607" s="16"/>
      <c r="O607" s="16"/>
      <c r="P607" s="16"/>
      <c r="Q607" s="17"/>
    </row>
    <row r="608" customFormat="false" ht="14.25" hidden="false" customHeight="false" outlineLevel="0" collapsed="false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6"/>
      <c r="N608" s="16"/>
      <c r="O608" s="16"/>
      <c r="P608" s="16"/>
      <c r="Q608" s="17"/>
    </row>
    <row r="609" customFormat="false" ht="14.25" hidden="false" customHeight="false" outlineLevel="0" collapsed="false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6"/>
      <c r="N609" s="16"/>
      <c r="O609" s="16"/>
      <c r="P609" s="16"/>
      <c r="Q609" s="17"/>
    </row>
    <row r="610" customFormat="false" ht="14.25" hidden="false" customHeight="false" outlineLevel="0" collapsed="false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6"/>
      <c r="N610" s="16"/>
      <c r="O610" s="16"/>
      <c r="P610" s="16"/>
      <c r="Q610" s="17"/>
    </row>
    <row r="611" customFormat="false" ht="14.25" hidden="false" customHeight="false" outlineLevel="0" collapsed="false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6"/>
      <c r="N611" s="16"/>
      <c r="O611" s="16"/>
      <c r="P611" s="16"/>
      <c r="Q611" s="17"/>
    </row>
    <row r="612" customFormat="false" ht="14.25" hidden="false" customHeight="false" outlineLevel="0" collapsed="false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6"/>
      <c r="N612" s="16"/>
      <c r="O612" s="16"/>
      <c r="P612" s="16"/>
      <c r="Q612" s="17"/>
    </row>
    <row r="613" customFormat="false" ht="14.25" hidden="false" customHeight="false" outlineLevel="0" collapsed="false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6"/>
      <c r="N613" s="16"/>
      <c r="O613" s="16"/>
      <c r="P613" s="16"/>
      <c r="Q613" s="17"/>
    </row>
    <row r="614" customFormat="false" ht="14.25" hidden="false" customHeight="false" outlineLevel="0" collapsed="false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6"/>
      <c r="N614" s="16"/>
      <c r="O614" s="16"/>
      <c r="P614" s="16"/>
      <c r="Q614" s="17"/>
    </row>
    <row r="615" customFormat="false" ht="14.25" hidden="false" customHeight="false" outlineLevel="0" collapsed="false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6"/>
      <c r="N615" s="16"/>
      <c r="O615" s="16"/>
      <c r="P615" s="16"/>
      <c r="Q615" s="17"/>
    </row>
    <row r="616" customFormat="false" ht="14.25" hidden="false" customHeight="false" outlineLevel="0" collapsed="false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6"/>
      <c r="N616" s="16"/>
      <c r="O616" s="16"/>
      <c r="P616" s="16"/>
      <c r="Q616" s="17"/>
    </row>
    <row r="617" customFormat="false" ht="14.25" hidden="false" customHeight="false" outlineLevel="0" collapsed="false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6"/>
      <c r="N617" s="16"/>
      <c r="O617" s="16"/>
      <c r="P617" s="16"/>
      <c r="Q617" s="17"/>
    </row>
    <row r="618" customFormat="false" ht="14.25" hidden="false" customHeight="false" outlineLevel="0" collapsed="false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6"/>
      <c r="N618" s="16"/>
      <c r="O618" s="16"/>
      <c r="P618" s="16"/>
      <c r="Q618" s="17"/>
    </row>
    <row r="619" customFormat="false" ht="14.25" hidden="false" customHeight="false" outlineLevel="0" collapsed="false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6"/>
      <c r="N619" s="16"/>
      <c r="O619" s="16"/>
      <c r="P619" s="16"/>
      <c r="Q619" s="17"/>
    </row>
    <row r="620" customFormat="false" ht="14.25" hidden="false" customHeight="false" outlineLevel="0" collapsed="false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6"/>
      <c r="N620" s="16"/>
      <c r="O620" s="16"/>
      <c r="P620" s="16"/>
      <c r="Q620" s="17"/>
    </row>
    <row r="621" customFormat="false" ht="14.25" hidden="false" customHeight="false" outlineLevel="0" collapsed="false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6"/>
      <c r="N621" s="16"/>
      <c r="O621" s="16"/>
      <c r="P621" s="16"/>
      <c r="Q621" s="17"/>
    </row>
    <row r="622" customFormat="false" ht="14.25" hidden="false" customHeight="false" outlineLevel="0" collapsed="false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6"/>
      <c r="N622" s="16"/>
      <c r="O622" s="16"/>
      <c r="P622" s="16"/>
      <c r="Q622" s="17"/>
    </row>
    <row r="623" customFormat="false" ht="14.25" hidden="false" customHeight="false" outlineLevel="0" collapsed="false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6"/>
      <c r="N623" s="16"/>
      <c r="O623" s="16"/>
      <c r="P623" s="16"/>
      <c r="Q623" s="17"/>
    </row>
    <row r="624" customFormat="false" ht="14.25" hidden="false" customHeight="false" outlineLevel="0" collapsed="false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6"/>
      <c r="N624" s="16"/>
      <c r="O624" s="16"/>
      <c r="P624" s="16"/>
      <c r="Q624" s="17"/>
    </row>
    <row r="625" customFormat="false" ht="14.25" hidden="false" customHeight="false" outlineLevel="0" collapsed="false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6"/>
      <c r="N625" s="16"/>
      <c r="O625" s="16"/>
      <c r="P625" s="16"/>
      <c r="Q625" s="17"/>
    </row>
    <row r="626" customFormat="false" ht="14.25" hidden="false" customHeight="false" outlineLevel="0" collapsed="false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6"/>
      <c r="N626" s="16"/>
      <c r="O626" s="16"/>
      <c r="P626" s="16"/>
      <c r="Q626" s="17"/>
    </row>
    <row r="627" customFormat="false" ht="14.25" hidden="false" customHeight="false" outlineLevel="0" collapsed="false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6"/>
      <c r="N627" s="16"/>
      <c r="O627" s="16"/>
      <c r="P627" s="16"/>
      <c r="Q627" s="17"/>
    </row>
    <row r="628" customFormat="false" ht="14.25" hidden="false" customHeight="false" outlineLevel="0" collapsed="false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6"/>
      <c r="N628" s="16"/>
      <c r="O628" s="16"/>
      <c r="P628" s="16"/>
      <c r="Q628" s="17"/>
    </row>
    <row r="629" customFormat="false" ht="14.25" hidden="false" customHeight="false" outlineLevel="0" collapsed="false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6"/>
      <c r="N629" s="16"/>
      <c r="O629" s="16"/>
      <c r="P629" s="16"/>
      <c r="Q629" s="17"/>
    </row>
    <row r="630" customFormat="false" ht="14.25" hidden="false" customHeight="false" outlineLevel="0" collapsed="false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6"/>
      <c r="N630" s="16"/>
      <c r="O630" s="16"/>
      <c r="P630" s="16"/>
      <c r="Q630" s="17"/>
    </row>
    <row r="631" customFormat="false" ht="14.25" hidden="false" customHeight="false" outlineLevel="0" collapsed="false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6"/>
      <c r="N631" s="16"/>
      <c r="O631" s="16"/>
      <c r="P631" s="16"/>
      <c r="Q631" s="17"/>
    </row>
    <row r="632" customFormat="false" ht="14.25" hidden="false" customHeight="false" outlineLevel="0" collapsed="false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6"/>
      <c r="N632" s="16"/>
      <c r="O632" s="16"/>
      <c r="P632" s="16"/>
      <c r="Q632" s="17"/>
    </row>
    <row r="633" customFormat="false" ht="14.25" hidden="false" customHeight="false" outlineLevel="0" collapsed="false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6"/>
      <c r="N633" s="16"/>
      <c r="O633" s="16"/>
      <c r="P633" s="16"/>
      <c r="Q633" s="17"/>
    </row>
    <row r="634" customFormat="false" ht="14.25" hidden="false" customHeight="false" outlineLevel="0" collapsed="false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6"/>
      <c r="N634" s="16"/>
      <c r="O634" s="16"/>
      <c r="P634" s="16"/>
      <c r="Q634" s="17"/>
    </row>
    <row r="635" customFormat="false" ht="14.25" hidden="false" customHeight="false" outlineLevel="0" collapsed="false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6"/>
      <c r="N635" s="16"/>
      <c r="O635" s="16"/>
      <c r="P635" s="16"/>
      <c r="Q635" s="17"/>
    </row>
    <row r="636" customFormat="false" ht="14.25" hidden="false" customHeight="false" outlineLevel="0" collapsed="false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6"/>
      <c r="N636" s="16"/>
      <c r="O636" s="16"/>
      <c r="P636" s="16"/>
      <c r="Q636" s="17"/>
    </row>
    <row r="637" customFormat="false" ht="14.25" hidden="false" customHeight="false" outlineLevel="0" collapsed="false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6"/>
      <c r="N637" s="16"/>
      <c r="O637" s="16"/>
      <c r="P637" s="16"/>
      <c r="Q637" s="17"/>
    </row>
    <row r="638" customFormat="false" ht="14.25" hidden="false" customHeight="false" outlineLevel="0" collapsed="false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6"/>
      <c r="N638" s="16"/>
      <c r="O638" s="16"/>
      <c r="P638" s="16"/>
      <c r="Q638" s="17"/>
    </row>
    <row r="639" customFormat="false" ht="14.25" hidden="false" customHeight="false" outlineLevel="0" collapsed="false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6"/>
      <c r="N639" s="16"/>
      <c r="O639" s="16"/>
      <c r="P639" s="16"/>
      <c r="Q639" s="17"/>
    </row>
    <row r="640" customFormat="false" ht="14.25" hidden="false" customHeight="false" outlineLevel="0" collapsed="false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6"/>
      <c r="N640" s="16"/>
      <c r="O640" s="16"/>
      <c r="P640" s="16"/>
      <c r="Q640" s="17"/>
    </row>
    <row r="641" customFormat="false" ht="14.25" hidden="false" customHeight="false" outlineLevel="0" collapsed="false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6"/>
      <c r="N641" s="16"/>
      <c r="O641" s="16"/>
      <c r="P641" s="16"/>
      <c r="Q641" s="17"/>
    </row>
    <row r="642" customFormat="false" ht="14.25" hidden="false" customHeight="false" outlineLevel="0" collapsed="false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6"/>
      <c r="N642" s="16"/>
      <c r="O642" s="16"/>
      <c r="P642" s="16"/>
      <c r="Q642" s="17"/>
    </row>
    <row r="643" customFormat="false" ht="14.25" hidden="false" customHeight="false" outlineLevel="0" collapsed="false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6"/>
      <c r="N643" s="16"/>
      <c r="O643" s="16"/>
      <c r="P643" s="16"/>
      <c r="Q643" s="17"/>
    </row>
    <row r="644" customFormat="false" ht="14.25" hidden="false" customHeight="false" outlineLevel="0" collapsed="false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6"/>
      <c r="N644" s="16"/>
      <c r="O644" s="16"/>
      <c r="P644" s="16"/>
      <c r="Q644" s="17"/>
    </row>
    <row r="645" customFormat="false" ht="14.25" hidden="false" customHeight="false" outlineLevel="0" collapsed="false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6"/>
      <c r="N645" s="16"/>
      <c r="O645" s="16"/>
      <c r="P645" s="16"/>
      <c r="Q645" s="17"/>
    </row>
    <row r="646" customFormat="false" ht="14.25" hidden="false" customHeight="false" outlineLevel="0" collapsed="false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6"/>
      <c r="N646" s="16"/>
      <c r="O646" s="16"/>
      <c r="P646" s="16"/>
      <c r="Q646" s="17"/>
    </row>
    <row r="647" customFormat="false" ht="14.25" hidden="false" customHeight="false" outlineLevel="0" collapsed="false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6"/>
      <c r="N647" s="16"/>
      <c r="O647" s="16"/>
      <c r="P647" s="16"/>
      <c r="Q647" s="17"/>
    </row>
    <row r="648" customFormat="false" ht="14.25" hidden="false" customHeight="false" outlineLevel="0" collapsed="false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6"/>
      <c r="N648" s="16"/>
      <c r="O648" s="16"/>
      <c r="P648" s="16"/>
      <c r="Q648" s="17"/>
    </row>
    <row r="649" customFormat="false" ht="14.25" hidden="false" customHeight="false" outlineLevel="0" collapsed="false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6"/>
      <c r="N649" s="16"/>
      <c r="O649" s="16"/>
      <c r="P649" s="16"/>
      <c r="Q649" s="17"/>
    </row>
    <row r="650" customFormat="false" ht="14.25" hidden="false" customHeight="false" outlineLevel="0" collapsed="false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6"/>
      <c r="N650" s="16"/>
      <c r="O650" s="16"/>
      <c r="P650" s="16"/>
      <c r="Q650" s="17"/>
    </row>
    <row r="651" customFormat="false" ht="14.25" hidden="false" customHeight="false" outlineLevel="0" collapsed="false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6"/>
      <c r="N651" s="16"/>
      <c r="O651" s="16"/>
      <c r="P651" s="16"/>
      <c r="Q651" s="17"/>
    </row>
    <row r="652" customFormat="false" ht="14.25" hidden="false" customHeight="false" outlineLevel="0" collapsed="false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6"/>
      <c r="N652" s="16"/>
      <c r="O652" s="16"/>
      <c r="P652" s="16"/>
      <c r="Q652" s="17"/>
    </row>
    <row r="653" customFormat="false" ht="14.25" hidden="false" customHeight="false" outlineLevel="0" collapsed="false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6"/>
      <c r="N653" s="16"/>
      <c r="O653" s="16"/>
      <c r="P653" s="16"/>
      <c r="Q653" s="17"/>
    </row>
    <row r="654" customFormat="false" ht="14.25" hidden="false" customHeight="false" outlineLevel="0" collapsed="false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6"/>
      <c r="N654" s="16"/>
      <c r="O654" s="16"/>
      <c r="P654" s="16"/>
      <c r="Q654" s="17"/>
    </row>
    <row r="655" customFormat="false" ht="14.25" hidden="false" customHeight="false" outlineLevel="0" collapsed="false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6"/>
      <c r="N655" s="16"/>
      <c r="O655" s="16"/>
      <c r="P655" s="16"/>
      <c r="Q655" s="17"/>
    </row>
    <row r="656" customFormat="false" ht="14.25" hidden="false" customHeight="false" outlineLevel="0" collapsed="false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6"/>
      <c r="N656" s="16"/>
      <c r="O656" s="16"/>
      <c r="P656" s="16"/>
      <c r="Q656" s="17"/>
    </row>
    <row r="657" customFormat="false" ht="14.25" hidden="false" customHeight="false" outlineLevel="0" collapsed="false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6"/>
      <c r="N657" s="16"/>
      <c r="O657" s="16"/>
      <c r="P657" s="16"/>
      <c r="Q657" s="17"/>
    </row>
    <row r="658" customFormat="false" ht="14.25" hidden="false" customHeight="false" outlineLevel="0" collapsed="false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6"/>
      <c r="N658" s="16"/>
      <c r="O658" s="16"/>
      <c r="P658" s="16"/>
      <c r="Q658" s="17"/>
    </row>
    <row r="659" customFormat="false" ht="14.25" hidden="false" customHeight="false" outlineLevel="0" collapsed="false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6"/>
      <c r="N659" s="16"/>
      <c r="O659" s="16"/>
      <c r="P659" s="16"/>
      <c r="Q659" s="17"/>
    </row>
    <row r="660" customFormat="false" ht="14.25" hidden="false" customHeight="false" outlineLevel="0" collapsed="false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6"/>
      <c r="N660" s="16"/>
      <c r="O660" s="16"/>
      <c r="P660" s="16"/>
      <c r="Q660" s="17"/>
    </row>
    <row r="661" customFormat="false" ht="14.25" hidden="false" customHeight="false" outlineLevel="0" collapsed="false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6"/>
      <c r="N661" s="16"/>
      <c r="O661" s="16"/>
      <c r="P661" s="16"/>
      <c r="Q661" s="17"/>
    </row>
    <row r="662" customFormat="false" ht="14.25" hidden="false" customHeight="false" outlineLevel="0" collapsed="false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6"/>
      <c r="N662" s="16"/>
      <c r="O662" s="16"/>
      <c r="P662" s="16"/>
      <c r="Q662" s="17"/>
    </row>
    <row r="663" customFormat="false" ht="14.25" hidden="false" customHeight="false" outlineLevel="0" collapsed="false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6"/>
      <c r="N663" s="16"/>
      <c r="O663" s="16"/>
      <c r="P663" s="16"/>
      <c r="Q663" s="17"/>
    </row>
    <row r="664" customFormat="false" ht="14.25" hidden="false" customHeight="false" outlineLevel="0" collapsed="false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6"/>
      <c r="N664" s="16"/>
      <c r="O664" s="16"/>
      <c r="P664" s="16"/>
      <c r="Q664" s="17"/>
    </row>
    <row r="665" customFormat="false" ht="14.25" hidden="false" customHeight="false" outlineLevel="0" collapsed="false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6"/>
      <c r="N665" s="16"/>
      <c r="O665" s="16"/>
      <c r="P665" s="16"/>
      <c r="Q665" s="17"/>
    </row>
    <row r="666" customFormat="false" ht="14.25" hidden="false" customHeight="false" outlineLevel="0" collapsed="false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6"/>
      <c r="N666" s="16"/>
      <c r="O666" s="16"/>
      <c r="P666" s="16"/>
      <c r="Q666" s="17"/>
    </row>
    <row r="667" customFormat="false" ht="14.25" hidden="false" customHeight="false" outlineLevel="0" collapsed="false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6"/>
      <c r="N667" s="16"/>
      <c r="O667" s="16"/>
      <c r="P667" s="16"/>
      <c r="Q667" s="17"/>
    </row>
    <row r="668" customFormat="false" ht="14.25" hidden="false" customHeight="false" outlineLevel="0" collapsed="false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6"/>
      <c r="N668" s="16"/>
      <c r="O668" s="16"/>
      <c r="P668" s="16"/>
      <c r="Q668" s="17"/>
    </row>
    <row r="669" customFormat="false" ht="14.25" hidden="false" customHeight="false" outlineLevel="0" collapsed="false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6"/>
      <c r="N669" s="16"/>
      <c r="O669" s="16"/>
      <c r="P669" s="16"/>
      <c r="Q669" s="17"/>
    </row>
    <row r="670" customFormat="false" ht="14.25" hidden="false" customHeight="false" outlineLevel="0" collapsed="false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6"/>
      <c r="N670" s="16"/>
      <c r="O670" s="16"/>
      <c r="P670" s="16"/>
      <c r="Q670" s="17"/>
    </row>
    <row r="671" customFormat="false" ht="14.25" hidden="false" customHeight="false" outlineLevel="0" collapsed="false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6"/>
      <c r="N671" s="16"/>
      <c r="O671" s="16"/>
      <c r="P671" s="16"/>
      <c r="Q671" s="17"/>
    </row>
    <row r="672" customFormat="false" ht="14.25" hidden="false" customHeight="false" outlineLevel="0" collapsed="false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6"/>
      <c r="N672" s="16"/>
      <c r="O672" s="16"/>
      <c r="P672" s="16"/>
      <c r="Q672" s="17"/>
    </row>
    <row r="673" customFormat="false" ht="14.25" hidden="false" customHeight="false" outlineLevel="0" collapsed="false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6"/>
      <c r="N673" s="16"/>
      <c r="O673" s="16"/>
      <c r="P673" s="16"/>
      <c r="Q673" s="17"/>
    </row>
    <row r="674" customFormat="false" ht="14.25" hidden="false" customHeight="false" outlineLevel="0" collapsed="false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6"/>
      <c r="N674" s="16"/>
      <c r="O674" s="16"/>
      <c r="P674" s="16"/>
      <c r="Q674" s="17"/>
    </row>
    <row r="675" customFormat="false" ht="14.25" hidden="false" customHeight="false" outlineLevel="0" collapsed="false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6"/>
      <c r="N675" s="16"/>
      <c r="O675" s="16"/>
      <c r="P675" s="16"/>
      <c r="Q675" s="17"/>
    </row>
    <row r="676" customFormat="false" ht="14.25" hidden="false" customHeight="false" outlineLevel="0" collapsed="false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6"/>
      <c r="N676" s="16"/>
      <c r="O676" s="16"/>
      <c r="P676" s="16"/>
      <c r="Q676" s="17"/>
    </row>
    <row r="677" customFormat="false" ht="14.25" hidden="false" customHeight="false" outlineLevel="0" collapsed="false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6"/>
      <c r="N677" s="16"/>
      <c r="O677" s="16"/>
      <c r="P677" s="16"/>
      <c r="Q677" s="17"/>
    </row>
    <row r="678" customFormat="false" ht="14.25" hidden="false" customHeight="false" outlineLevel="0" collapsed="false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6"/>
      <c r="N678" s="16"/>
      <c r="O678" s="16"/>
      <c r="P678" s="16"/>
      <c r="Q678" s="17"/>
    </row>
    <row r="679" customFormat="false" ht="14.25" hidden="false" customHeight="false" outlineLevel="0" collapsed="false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6"/>
      <c r="N679" s="16"/>
      <c r="O679" s="16"/>
      <c r="P679" s="16"/>
      <c r="Q679" s="17"/>
    </row>
    <row r="680" customFormat="false" ht="14.25" hidden="false" customHeight="false" outlineLevel="0" collapsed="false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6"/>
      <c r="N680" s="16"/>
      <c r="O680" s="16"/>
      <c r="P680" s="16"/>
      <c r="Q680" s="17"/>
    </row>
    <row r="681" customFormat="false" ht="14.25" hidden="false" customHeight="false" outlineLevel="0" collapsed="false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6"/>
      <c r="N681" s="16"/>
      <c r="O681" s="16"/>
      <c r="P681" s="16"/>
      <c r="Q681" s="17"/>
    </row>
    <row r="682" customFormat="false" ht="14.25" hidden="false" customHeight="false" outlineLevel="0" collapsed="false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6"/>
      <c r="N682" s="16"/>
      <c r="O682" s="16"/>
      <c r="P682" s="16"/>
      <c r="Q682" s="17"/>
    </row>
    <row r="683" customFormat="false" ht="14.25" hidden="false" customHeight="false" outlineLevel="0" collapsed="false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6"/>
      <c r="N683" s="16"/>
      <c r="O683" s="16"/>
      <c r="P683" s="16"/>
      <c r="Q683" s="17"/>
    </row>
    <row r="684" customFormat="false" ht="14.25" hidden="false" customHeight="false" outlineLevel="0" collapsed="false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6"/>
      <c r="N684" s="16"/>
      <c r="O684" s="16"/>
      <c r="P684" s="16"/>
      <c r="Q684" s="17"/>
    </row>
    <row r="685" customFormat="false" ht="14.25" hidden="false" customHeight="false" outlineLevel="0" collapsed="false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6"/>
      <c r="N685" s="16"/>
      <c r="O685" s="16"/>
      <c r="P685" s="16"/>
      <c r="Q685" s="17"/>
    </row>
    <row r="686" customFormat="false" ht="14.25" hidden="false" customHeight="false" outlineLevel="0" collapsed="false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6"/>
      <c r="N686" s="16"/>
      <c r="O686" s="16"/>
      <c r="P686" s="16"/>
      <c r="Q686" s="17"/>
    </row>
    <row r="687" customFormat="false" ht="14.25" hidden="false" customHeight="false" outlineLevel="0" collapsed="false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6"/>
      <c r="N687" s="16"/>
      <c r="O687" s="16"/>
      <c r="P687" s="16"/>
      <c r="Q687" s="17"/>
    </row>
    <row r="688" customFormat="false" ht="14.25" hidden="false" customHeight="false" outlineLevel="0" collapsed="false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6"/>
      <c r="N688" s="16"/>
      <c r="O688" s="16"/>
      <c r="P688" s="16"/>
      <c r="Q688" s="17"/>
    </row>
    <row r="689" customFormat="false" ht="14.25" hidden="false" customHeight="false" outlineLevel="0" collapsed="false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6"/>
      <c r="N689" s="16"/>
      <c r="O689" s="16"/>
      <c r="P689" s="16"/>
      <c r="Q689" s="17"/>
    </row>
    <row r="690" customFormat="false" ht="14.25" hidden="false" customHeight="false" outlineLevel="0" collapsed="false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6"/>
      <c r="N690" s="16"/>
      <c r="O690" s="16"/>
      <c r="P690" s="16"/>
      <c r="Q690" s="17"/>
    </row>
    <row r="691" customFormat="false" ht="14.25" hidden="false" customHeight="false" outlineLevel="0" collapsed="false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6"/>
      <c r="N691" s="16"/>
      <c r="O691" s="16"/>
      <c r="P691" s="16"/>
      <c r="Q691" s="17"/>
    </row>
    <row r="692" customFormat="false" ht="14.25" hidden="false" customHeight="false" outlineLevel="0" collapsed="false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6"/>
      <c r="N692" s="16"/>
      <c r="O692" s="16"/>
      <c r="P692" s="16"/>
      <c r="Q692" s="17"/>
    </row>
    <row r="693" customFormat="false" ht="14.25" hidden="false" customHeight="false" outlineLevel="0" collapsed="false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6"/>
      <c r="N693" s="16"/>
      <c r="O693" s="16"/>
      <c r="P693" s="16"/>
      <c r="Q693" s="17"/>
    </row>
    <row r="694" customFormat="false" ht="14.25" hidden="false" customHeight="false" outlineLevel="0" collapsed="false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6"/>
      <c r="N694" s="16"/>
      <c r="O694" s="16"/>
      <c r="P694" s="16"/>
      <c r="Q694" s="17"/>
    </row>
    <row r="695" customFormat="false" ht="14.25" hidden="false" customHeight="false" outlineLevel="0" collapsed="false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6"/>
      <c r="N695" s="16"/>
      <c r="O695" s="16"/>
      <c r="P695" s="16"/>
      <c r="Q695" s="17"/>
    </row>
    <row r="696" customFormat="false" ht="14.25" hidden="false" customHeight="false" outlineLevel="0" collapsed="false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6"/>
      <c r="N696" s="16"/>
      <c r="O696" s="16"/>
      <c r="P696" s="16"/>
      <c r="Q696" s="17"/>
    </row>
    <row r="697" customFormat="false" ht="14.25" hidden="false" customHeight="false" outlineLevel="0" collapsed="false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6"/>
      <c r="N697" s="16"/>
      <c r="O697" s="16"/>
      <c r="P697" s="16"/>
      <c r="Q697" s="17"/>
    </row>
    <row r="698" customFormat="false" ht="14.25" hidden="false" customHeight="false" outlineLevel="0" collapsed="false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6"/>
      <c r="N698" s="16"/>
      <c r="O698" s="16"/>
      <c r="P698" s="16"/>
      <c r="Q698" s="17"/>
    </row>
    <row r="699" customFormat="false" ht="14.25" hidden="false" customHeight="false" outlineLevel="0" collapsed="false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6"/>
      <c r="N699" s="16"/>
      <c r="O699" s="16"/>
      <c r="P699" s="16"/>
      <c r="Q699" s="17"/>
    </row>
    <row r="700" customFormat="false" ht="14.25" hidden="false" customHeight="false" outlineLevel="0" collapsed="false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6"/>
      <c r="N700" s="16"/>
      <c r="O700" s="16"/>
      <c r="P700" s="16"/>
      <c r="Q700" s="17"/>
    </row>
    <row r="701" customFormat="false" ht="14.25" hidden="false" customHeight="false" outlineLevel="0" collapsed="false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6"/>
      <c r="N701" s="16"/>
      <c r="O701" s="16"/>
      <c r="P701" s="16"/>
      <c r="Q701" s="17"/>
    </row>
    <row r="702" customFormat="false" ht="14.25" hidden="false" customHeight="false" outlineLevel="0" collapsed="false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6"/>
      <c r="N702" s="16"/>
      <c r="O702" s="16"/>
      <c r="P702" s="16"/>
      <c r="Q702" s="17"/>
    </row>
    <row r="703" customFormat="false" ht="14.25" hidden="false" customHeight="false" outlineLevel="0" collapsed="false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6"/>
      <c r="N703" s="16"/>
      <c r="O703" s="16"/>
      <c r="P703" s="16"/>
      <c r="Q703" s="17"/>
    </row>
    <row r="704" customFormat="false" ht="14.25" hidden="false" customHeight="false" outlineLevel="0" collapsed="false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6"/>
      <c r="N704" s="16"/>
      <c r="O704" s="16"/>
      <c r="P704" s="16"/>
      <c r="Q704" s="17"/>
    </row>
    <row r="705" customFormat="false" ht="14.25" hidden="false" customHeight="false" outlineLevel="0" collapsed="false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6"/>
      <c r="N705" s="16"/>
      <c r="O705" s="16"/>
      <c r="P705" s="16"/>
      <c r="Q705" s="17"/>
    </row>
    <row r="706" customFormat="false" ht="14.25" hidden="false" customHeight="false" outlineLevel="0" collapsed="false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6"/>
      <c r="N706" s="16"/>
      <c r="O706" s="16"/>
      <c r="P706" s="16"/>
      <c r="Q706" s="17"/>
    </row>
    <row r="707" customFormat="false" ht="14.25" hidden="false" customHeight="false" outlineLevel="0" collapsed="false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6"/>
      <c r="N707" s="16"/>
      <c r="O707" s="16"/>
      <c r="P707" s="16"/>
      <c r="Q707" s="17"/>
    </row>
    <row r="708" customFormat="false" ht="14.25" hidden="false" customHeight="false" outlineLevel="0" collapsed="false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6"/>
      <c r="N708" s="16"/>
      <c r="O708" s="16"/>
      <c r="P708" s="16"/>
      <c r="Q708" s="17"/>
    </row>
    <row r="709" customFormat="false" ht="14.25" hidden="false" customHeight="false" outlineLevel="0" collapsed="false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6"/>
      <c r="N709" s="16"/>
      <c r="O709" s="16"/>
      <c r="P709" s="16"/>
      <c r="Q709" s="17"/>
    </row>
    <row r="710" customFormat="false" ht="14.25" hidden="false" customHeight="false" outlineLevel="0" collapsed="false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6"/>
      <c r="N710" s="16"/>
      <c r="O710" s="16"/>
      <c r="P710" s="16"/>
      <c r="Q710" s="17"/>
    </row>
    <row r="711" customFormat="false" ht="14.25" hidden="false" customHeight="false" outlineLevel="0" collapsed="false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6"/>
      <c r="N711" s="16"/>
      <c r="O711" s="16"/>
      <c r="P711" s="16"/>
      <c r="Q711" s="17"/>
    </row>
    <row r="712" customFormat="false" ht="14.25" hidden="false" customHeight="false" outlineLevel="0" collapsed="false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6"/>
      <c r="N712" s="16"/>
      <c r="O712" s="16"/>
      <c r="P712" s="16"/>
      <c r="Q712" s="17"/>
    </row>
    <row r="713" customFormat="false" ht="14.25" hidden="false" customHeight="false" outlineLevel="0" collapsed="false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6"/>
      <c r="N713" s="16"/>
      <c r="O713" s="16"/>
      <c r="P713" s="16"/>
      <c r="Q713" s="17"/>
    </row>
    <row r="714" customFormat="false" ht="14.25" hidden="false" customHeight="false" outlineLevel="0" collapsed="false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6"/>
      <c r="N714" s="16"/>
      <c r="O714" s="16"/>
      <c r="P714" s="16"/>
      <c r="Q714" s="17"/>
    </row>
    <row r="715" customFormat="false" ht="14.25" hidden="false" customHeight="false" outlineLevel="0" collapsed="false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6"/>
      <c r="N715" s="16"/>
      <c r="O715" s="16"/>
      <c r="P715" s="16"/>
      <c r="Q715" s="17"/>
    </row>
    <row r="716" customFormat="false" ht="14.25" hidden="false" customHeight="false" outlineLevel="0" collapsed="false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6"/>
      <c r="N716" s="16"/>
      <c r="O716" s="16"/>
      <c r="P716" s="16"/>
      <c r="Q716" s="17"/>
    </row>
    <row r="717" customFormat="false" ht="14.25" hidden="false" customHeight="false" outlineLevel="0" collapsed="false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6"/>
      <c r="N717" s="16"/>
      <c r="O717" s="16"/>
      <c r="P717" s="16"/>
      <c r="Q717" s="17"/>
    </row>
    <row r="718" customFormat="false" ht="14.25" hidden="false" customHeight="false" outlineLevel="0" collapsed="false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6"/>
      <c r="N718" s="16"/>
      <c r="O718" s="16"/>
      <c r="P718" s="16"/>
      <c r="Q718" s="17"/>
    </row>
    <row r="719" customFormat="false" ht="14.25" hidden="false" customHeight="false" outlineLevel="0" collapsed="false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6"/>
      <c r="N719" s="16"/>
      <c r="O719" s="16"/>
      <c r="P719" s="16"/>
      <c r="Q719" s="17"/>
    </row>
    <row r="720" customFormat="false" ht="14.25" hidden="false" customHeight="false" outlineLevel="0" collapsed="false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6"/>
      <c r="N720" s="16"/>
      <c r="O720" s="16"/>
      <c r="P720" s="16"/>
      <c r="Q720" s="17"/>
    </row>
    <row r="721" customFormat="false" ht="14.25" hidden="false" customHeight="false" outlineLevel="0" collapsed="false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6"/>
      <c r="N721" s="16"/>
      <c r="O721" s="16"/>
      <c r="P721" s="16"/>
      <c r="Q721" s="17"/>
    </row>
    <row r="722" customFormat="false" ht="14.25" hidden="false" customHeight="false" outlineLevel="0" collapsed="false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6"/>
      <c r="N722" s="16"/>
      <c r="O722" s="16"/>
      <c r="P722" s="16"/>
      <c r="Q722" s="17"/>
    </row>
    <row r="723" customFormat="false" ht="14.25" hidden="false" customHeight="false" outlineLevel="0" collapsed="false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6"/>
      <c r="N723" s="16"/>
      <c r="O723" s="16"/>
      <c r="P723" s="16"/>
      <c r="Q723" s="17"/>
    </row>
    <row r="724" customFormat="false" ht="14.25" hidden="false" customHeight="false" outlineLevel="0" collapsed="false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6"/>
      <c r="N724" s="16"/>
      <c r="O724" s="16"/>
      <c r="P724" s="16"/>
      <c r="Q724" s="17"/>
    </row>
    <row r="725" customFormat="false" ht="14.25" hidden="false" customHeight="false" outlineLevel="0" collapsed="false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6"/>
      <c r="N725" s="16"/>
      <c r="O725" s="16"/>
      <c r="P725" s="16"/>
      <c r="Q725" s="17"/>
    </row>
    <row r="726" customFormat="false" ht="14.25" hidden="false" customHeight="false" outlineLevel="0" collapsed="false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6"/>
      <c r="N726" s="16"/>
      <c r="O726" s="16"/>
      <c r="P726" s="16"/>
      <c r="Q726" s="17"/>
    </row>
    <row r="727" customFormat="false" ht="14.25" hidden="false" customHeight="false" outlineLevel="0" collapsed="false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6"/>
      <c r="N727" s="16"/>
      <c r="O727" s="16"/>
      <c r="P727" s="16"/>
      <c r="Q727" s="17"/>
    </row>
    <row r="728" customFormat="false" ht="14.25" hidden="false" customHeight="false" outlineLevel="0" collapsed="false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6"/>
      <c r="N728" s="16"/>
      <c r="O728" s="16"/>
      <c r="P728" s="16"/>
      <c r="Q728" s="17"/>
    </row>
    <row r="729" customFormat="false" ht="14.25" hidden="false" customHeight="false" outlineLevel="0" collapsed="false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6"/>
      <c r="N729" s="16"/>
      <c r="O729" s="16"/>
      <c r="P729" s="16"/>
      <c r="Q729" s="17"/>
    </row>
    <row r="730" customFormat="false" ht="14.25" hidden="false" customHeight="false" outlineLevel="0" collapsed="false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6"/>
      <c r="N730" s="16"/>
      <c r="O730" s="16"/>
      <c r="P730" s="16"/>
      <c r="Q730" s="17"/>
    </row>
    <row r="731" customFormat="false" ht="14.25" hidden="false" customHeight="false" outlineLevel="0" collapsed="false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6"/>
      <c r="N731" s="16"/>
      <c r="O731" s="16"/>
      <c r="P731" s="16"/>
      <c r="Q731" s="17"/>
    </row>
    <row r="732" customFormat="false" ht="14.25" hidden="false" customHeight="false" outlineLevel="0" collapsed="false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6"/>
      <c r="N732" s="16"/>
      <c r="O732" s="16"/>
      <c r="P732" s="16"/>
      <c r="Q732" s="17"/>
    </row>
    <row r="733" customFormat="false" ht="14.25" hidden="false" customHeight="false" outlineLevel="0" collapsed="false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6"/>
      <c r="N733" s="16"/>
      <c r="O733" s="16"/>
      <c r="P733" s="16"/>
      <c r="Q733" s="17"/>
    </row>
    <row r="734" customFormat="false" ht="14.25" hidden="false" customHeight="false" outlineLevel="0" collapsed="false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6"/>
      <c r="N734" s="16"/>
      <c r="O734" s="16"/>
      <c r="P734" s="16"/>
      <c r="Q734" s="17"/>
    </row>
    <row r="735" customFormat="false" ht="14.25" hidden="false" customHeight="false" outlineLevel="0" collapsed="false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6"/>
      <c r="N735" s="16"/>
      <c r="O735" s="16"/>
      <c r="P735" s="16"/>
      <c r="Q735" s="17"/>
    </row>
    <row r="736" customFormat="false" ht="14.25" hidden="false" customHeight="false" outlineLevel="0" collapsed="false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6"/>
      <c r="N736" s="16"/>
      <c r="O736" s="16"/>
      <c r="P736" s="16"/>
      <c r="Q736" s="17"/>
    </row>
    <row r="737" customFormat="false" ht="14.25" hidden="false" customHeight="false" outlineLevel="0" collapsed="false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6"/>
      <c r="N737" s="16"/>
      <c r="O737" s="16"/>
      <c r="P737" s="16"/>
      <c r="Q737" s="17"/>
    </row>
    <row r="738" customFormat="false" ht="14.25" hidden="false" customHeight="false" outlineLevel="0" collapsed="false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6"/>
      <c r="N738" s="16"/>
      <c r="O738" s="16"/>
      <c r="P738" s="16"/>
      <c r="Q738" s="17"/>
    </row>
    <row r="739" customFormat="false" ht="14.25" hidden="false" customHeight="false" outlineLevel="0" collapsed="false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6"/>
      <c r="N739" s="16"/>
      <c r="O739" s="16"/>
      <c r="P739" s="16"/>
      <c r="Q739" s="17"/>
    </row>
    <row r="740" customFormat="false" ht="14.25" hidden="false" customHeight="false" outlineLevel="0" collapsed="false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6"/>
      <c r="N740" s="16"/>
      <c r="O740" s="16"/>
      <c r="P740" s="16"/>
      <c r="Q740" s="17"/>
    </row>
    <row r="741" customFormat="false" ht="14.25" hidden="false" customHeight="false" outlineLevel="0" collapsed="false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6"/>
      <c r="N741" s="16"/>
      <c r="O741" s="16"/>
      <c r="P741" s="16"/>
      <c r="Q741" s="17"/>
    </row>
    <row r="742" customFormat="false" ht="14.25" hidden="false" customHeight="false" outlineLevel="0" collapsed="false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6"/>
      <c r="N742" s="16"/>
      <c r="O742" s="16"/>
      <c r="P742" s="16"/>
      <c r="Q742" s="17"/>
    </row>
    <row r="743" customFormat="false" ht="14.25" hidden="false" customHeight="false" outlineLevel="0" collapsed="false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6"/>
      <c r="N743" s="16"/>
      <c r="O743" s="16"/>
      <c r="P743" s="16"/>
      <c r="Q743" s="17"/>
    </row>
    <row r="744" customFormat="false" ht="14.25" hidden="false" customHeight="false" outlineLevel="0" collapsed="false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6"/>
      <c r="N744" s="16"/>
      <c r="O744" s="16"/>
      <c r="P744" s="16"/>
      <c r="Q744" s="17"/>
    </row>
    <row r="745" customFormat="false" ht="14.25" hidden="false" customHeight="false" outlineLevel="0" collapsed="false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6"/>
      <c r="N745" s="16"/>
      <c r="O745" s="16"/>
      <c r="P745" s="16"/>
      <c r="Q745" s="17"/>
    </row>
    <row r="746" customFormat="false" ht="14.25" hidden="false" customHeight="false" outlineLevel="0" collapsed="false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6"/>
      <c r="N746" s="16"/>
      <c r="O746" s="16"/>
      <c r="P746" s="16"/>
      <c r="Q746" s="17"/>
    </row>
    <row r="747" customFormat="false" ht="14.25" hidden="false" customHeight="false" outlineLevel="0" collapsed="false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6"/>
      <c r="N747" s="16"/>
      <c r="O747" s="16"/>
      <c r="P747" s="16"/>
      <c r="Q747" s="17"/>
    </row>
    <row r="748" customFormat="false" ht="14.25" hidden="false" customHeight="false" outlineLevel="0" collapsed="false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6"/>
      <c r="N748" s="16"/>
      <c r="O748" s="16"/>
      <c r="P748" s="16"/>
      <c r="Q748" s="17"/>
    </row>
    <row r="749" customFormat="false" ht="14.25" hidden="false" customHeight="false" outlineLevel="0" collapsed="false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6"/>
      <c r="N749" s="16"/>
      <c r="O749" s="16"/>
      <c r="P749" s="16"/>
      <c r="Q749" s="17"/>
    </row>
    <row r="750" customFormat="false" ht="14.25" hidden="false" customHeight="false" outlineLevel="0" collapsed="false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6"/>
      <c r="N750" s="16"/>
      <c r="O750" s="16"/>
      <c r="P750" s="16"/>
      <c r="Q750" s="17"/>
    </row>
    <row r="751" customFormat="false" ht="14.25" hidden="false" customHeight="false" outlineLevel="0" collapsed="false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6"/>
      <c r="N751" s="16"/>
      <c r="O751" s="16"/>
      <c r="P751" s="16"/>
      <c r="Q751" s="17"/>
    </row>
    <row r="752" customFormat="false" ht="14.25" hidden="false" customHeight="false" outlineLevel="0" collapsed="false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6"/>
      <c r="N752" s="16"/>
      <c r="O752" s="16"/>
      <c r="P752" s="16"/>
      <c r="Q752" s="17"/>
    </row>
    <row r="753" customFormat="false" ht="14.25" hidden="false" customHeight="false" outlineLevel="0" collapsed="false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6"/>
      <c r="N753" s="16"/>
      <c r="O753" s="16"/>
      <c r="P753" s="16"/>
      <c r="Q753" s="17"/>
    </row>
    <row r="754" customFormat="false" ht="14.25" hidden="false" customHeight="false" outlineLevel="0" collapsed="false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6"/>
      <c r="N754" s="16"/>
      <c r="O754" s="16"/>
      <c r="P754" s="16"/>
      <c r="Q754" s="17"/>
    </row>
    <row r="755" customFormat="false" ht="14.25" hidden="false" customHeight="false" outlineLevel="0" collapsed="false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6"/>
      <c r="N755" s="16"/>
      <c r="O755" s="16"/>
      <c r="P755" s="16"/>
      <c r="Q755" s="17"/>
    </row>
    <row r="756" customFormat="false" ht="14.25" hidden="false" customHeight="false" outlineLevel="0" collapsed="false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6"/>
      <c r="N756" s="16"/>
      <c r="O756" s="16"/>
      <c r="P756" s="16"/>
      <c r="Q756" s="17"/>
    </row>
    <row r="757" customFormat="false" ht="14.25" hidden="false" customHeight="false" outlineLevel="0" collapsed="false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6"/>
      <c r="N757" s="16"/>
      <c r="O757" s="16"/>
      <c r="P757" s="16"/>
      <c r="Q757" s="17"/>
    </row>
    <row r="758" customFormat="false" ht="14.25" hidden="false" customHeight="false" outlineLevel="0" collapsed="false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6"/>
      <c r="N758" s="16"/>
      <c r="O758" s="16"/>
      <c r="P758" s="16"/>
      <c r="Q758" s="17"/>
    </row>
    <row r="759" customFormat="false" ht="14.25" hidden="false" customHeight="false" outlineLevel="0" collapsed="false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6"/>
      <c r="N759" s="16"/>
      <c r="O759" s="16"/>
      <c r="P759" s="16"/>
      <c r="Q759" s="17"/>
    </row>
    <row r="760" customFormat="false" ht="14.25" hidden="false" customHeight="false" outlineLevel="0" collapsed="false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6"/>
      <c r="N760" s="16"/>
      <c r="O760" s="16"/>
      <c r="P760" s="16"/>
      <c r="Q760" s="17"/>
    </row>
    <row r="761" customFormat="false" ht="14.25" hidden="false" customHeight="false" outlineLevel="0" collapsed="false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6"/>
      <c r="N761" s="16"/>
      <c r="O761" s="16"/>
      <c r="P761" s="16"/>
      <c r="Q761" s="17"/>
    </row>
    <row r="762" customFormat="false" ht="14.25" hidden="false" customHeight="false" outlineLevel="0" collapsed="false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6"/>
      <c r="N762" s="16"/>
      <c r="O762" s="16"/>
      <c r="P762" s="16"/>
      <c r="Q762" s="17"/>
    </row>
    <row r="763" customFormat="false" ht="14.25" hidden="false" customHeight="false" outlineLevel="0" collapsed="false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6"/>
      <c r="N763" s="16"/>
      <c r="O763" s="16"/>
      <c r="P763" s="16"/>
      <c r="Q763" s="17"/>
    </row>
    <row r="764" customFormat="false" ht="14.25" hidden="false" customHeight="false" outlineLevel="0" collapsed="false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6"/>
      <c r="N764" s="16"/>
      <c r="O764" s="16"/>
      <c r="P764" s="16"/>
      <c r="Q764" s="17"/>
    </row>
    <row r="765" customFormat="false" ht="14.25" hidden="false" customHeight="false" outlineLevel="0" collapsed="false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6"/>
      <c r="N765" s="16"/>
      <c r="O765" s="16"/>
      <c r="P765" s="16"/>
      <c r="Q765" s="17"/>
    </row>
    <row r="766" customFormat="false" ht="14.25" hidden="false" customHeight="false" outlineLevel="0" collapsed="false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6"/>
      <c r="N766" s="16"/>
      <c r="O766" s="16"/>
      <c r="P766" s="16"/>
      <c r="Q766" s="17"/>
    </row>
    <row r="767" customFormat="false" ht="14.25" hidden="false" customHeight="false" outlineLevel="0" collapsed="false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6"/>
      <c r="N767" s="16"/>
      <c r="O767" s="16"/>
      <c r="P767" s="16"/>
      <c r="Q767" s="17"/>
    </row>
    <row r="768" customFormat="false" ht="14.25" hidden="false" customHeight="false" outlineLevel="0" collapsed="false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6"/>
      <c r="N768" s="16"/>
      <c r="O768" s="16"/>
      <c r="P768" s="16"/>
      <c r="Q768" s="17"/>
    </row>
    <row r="769" customFormat="false" ht="14.25" hidden="false" customHeight="false" outlineLevel="0" collapsed="false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6"/>
      <c r="N769" s="16"/>
      <c r="O769" s="16"/>
      <c r="P769" s="16"/>
      <c r="Q769" s="17"/>
    </row>
    <row r="770" customFormat="false" ht="14.25" hidden="false" customHeight="false" outlineLevel="0" collapsed="false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6"/>
      <c r="N770" s="16"/>
      <c r="O770" s="16"/>
      <c r="P770" s="16"/>
      <c r="Q770" s="17"/>
    </row>
    <row r="771" customFormat="false" ht="14.25" hidden="false" customHeight="false" outlineLevel="0" collapsed="false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6"/>
      <c r="N771" s="16"/>
      <c r="O771" s="16"/>
      <c r="P771" s="16"/>
      <c r="Q771" s="17"/>
    </row>
    <row r="772" customFormat="false" ht="14.25" hidden="false" customHeight="false" outlineLevel="0" collapsed="false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6"/>
      <c r="N772" s="16"/>
      <c r="O772" s="16"/>
      <c r="P772" s="16"/>
      <c r="Q772" s="17"/>
    </row>
    <row r="773" customFormat="false" ht="14.25" hidden="false" customHeight="false" outlineLevel="0" collapsed="false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6"/>
      <c r="N773" s="16"/>
      <c r="O773" s="16"/>
      <c r="P773" s="16"/>
      <c r="Q773" s="17"/>
    </row>
    <row r="774" customFormat="false" ht="14.25" hidden="false" customHeight="false" outlineLevel="0" collapsed="false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6"/>
      <c r="N774" s="16"/>
      <c r="O774" s="16"/>
      <c r="P774" s="16"/>
      <c r="Q774" s="17"/>
    </row>
    <row r="775" customFormat="false" ht="14.25" hidden="false" customHeight="false" outlineLevel="0" collapsed="false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6"/>
      <c r="N775" s="16"/>
      <c r="O775" s="16"/>
      <c r="P775" s="16"/>
      <c r="Q775" s="17"/>
    </row>
    <row r="776" customFormat="false" ht="14.25" hidden="false" customHeight="false" outlineLevel="0" collapsed="false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6"/>
      <c r="N776" s="16"/>
      <c r="O776" s="16"/>
      <c r="P776" s="16"/>
      <c r="Q776" s="17"/>
    </row>
    <row r="777" customFormat="false" ht="14.25" hidden="false" customHeight="false" outlineLevel="0" collapsed="false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6"/>
      <c r="N777" s="16"/>
      <c r="O777" s="16"/>
      <c r="P777" s="16"/>
      <c r="Q777" s="17"/>
    </row>
    <row r="778" customFormat="false" ht="14.25" hidden="false" customHeight="false" outlineLevel="0" collapsed="false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6"/>
      <c r="N778" s="16"/>
      <c r="O778" s="16"/>
      <c r="P778" s="16"/>
      <c r="Q778" s="17"/>
    </row>
    <row r="779" customFormat="false" ht="14.25" hidden="false" customHeight="false" outlineLevel="0" collapsed="false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6"/>
      <c r="N779" s="16"/>
      <c r="O779" s="16"/>
      <c r="P779" s="16"/>
      <c r="Q779" s="17"/>
    </row>
    <row r="780" customFormat="false" ht="14.25" hidden="false" customHeight="false" outlineLevel="0" collapsed="false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6"/>
      <c r="N780" s="16"/>
      <c r="O780" s="16"/>
      <c r="P780" s="16"/>
      <c r="Q780" s="17"/>
    </row>
    <row r="781" customFormat="false" ht="14.25" hidden="false" customHeight="false" outlineLevel="0" collapsed="false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6"/>
      <c r="N781" s="16"/>
      <c r="O781" s="16"/>
      <c r="P781" s="16"/>
      <c r="Q781" s="17"/>
    </row>
    <row r="782" customFormat="false" ht="14.25" hidden="false" customHeight="false" outlineLevel="0" collapsed="false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6"/>
      <c r="N782" s="16"/>
      <c r="O782" s="16"/>
      <c r="P782" s="16"/>
      <c r="Q782" s="17"/>
    </row>
    <row r="783" customFormat="false" ht="14.25" hidden="false" customHeight="false" outlineLevel="0" collapsed="false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6"/>
      <c r="N783" s="16"/>
      <c r="O783" s="16"/>
      <c r="P783" s="16"/>
      <c r="Q783" s="17"/>
    </row>
    <row r="784" customFormat="false" ht="14.25" hidden="false" customHeight="false" outlineLevel="0" collapsed="false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6"/>
      <c r="N784" s="16"/>
      <c r="O784" s="16"/>
      <c r="P784" s="16"/>
      <c r="Q784" s="17"/>
    </row>
    <row r="785" customFormat="false" ht="14.25" hidden="false" customHeight="false" outlineLevel="0" collapsed="false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6"/>
      <c r="N785" s="16"/>
      <c r="O785" s="16"/>
      <c r="P785" s="16"/>
      <c r="Q785" s="17"/>
    </row>
    <row r="786" customFormat="false" ht="14.25" hidden="false" customHeight="false" outlineLevel="0" collapsed="false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6"/>
      <c r="N786" s="16"/>
      <c r="O786" s="16"/>
      <c r="P786" s="16"/>
      <c r="Q786" s="17"/>
    </row>
    <row r="787" customFormat="false" ht="14.25" hidden="false" customHeight="false" outlineLevel="0" collapsed="false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6"/>
      <c r="N787" s="16"/>
      <c r="O787" s="16"/>
      <c r="P787" s="16"/>
      <c r="Q787" s="17"/>
    </row>
    <row r="788" customFormat="false" ht="14.25" hidden="false" customHeight="false" outlineLevel="0" collapsed="false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6"/>
      <c r="N788" s="16"/>
      <c r="O788" s="16"/>
      <c r="P788" s="16"/>
      <c r="Q788" s="17"/>
    </row>
    <row r="789" customFormat="false" ht="14.25" hidden="false" customHeight="false" outlineLevel="0" collapsed="false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6"/>
      <c r="N789" s="16"/>
      <c r="O789" s="16"/>
      <c r="P789" s="16"/>
      <c r="Q789" s="17"/>
    </row>
    <row r="790" customFormat="false" ht="14.25" hidden="false" customHeight="false" outlineLevel="0" collapsed="false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6"/>
      <c r="N790" s="16"/>
      <c r="O790" s="16"/>
      <c r="P790" s="16"/>
      <c r="Q790" s="17"/>
    </row>
    <row r="791" customFormat="false" ht="14.25" hidden="false" customHeight="false" outlineLevel="0" collapsed="false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6"/>
      <c r="N791" s="16"/>
      <c r="O791" s="16"/>
      <c r="P791" s="16"/>
      <c r="Q791" s="17"/>
    </row>
    <row r="792" customFormat="false" ht="14.25" hidden="false" customHeight="false" outlineLevel="0" collapsed="false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6"/>
      <c r="N792" s="16"/>
      <c r="O792" s="16"/>
      <c r="P792" s="16"/>
      <c r="Q792" s="17"/>
    </row>
    <row r="793" customFormat="false" ht="14.25" hidden="false" customHeight="false" outlineLevel="0" collapsed="false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6"/>
      <c r="N793" s="16"/>
      <c r="O793" s="16"/>
      <c r="P793" s="16"/>
      <c r="Q793" s="17"/>
    </row>
    <row r="794" customFormat="false" ht="14.25" hidden="false" customHeight="false" outlineLevel="0" collapsed="false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6"/>
      <c r="N794" s="16"/>
      <c r="O794" s="16"/>
      <c r="P794" s="16"/>
      <c r="Q794" s="17"/>
    </row>
    <row r="795" customFormat="false" ht="14.25" hidden="false" customHeight="false" outlineLevel="0" collapsed="false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6"/>
      <c r="N795" s="16"/>
      <c r="O795" s="16"/>
      <c r="P795" s="16"/>
      <c r="Q795" s="17"/>
    </row>
    <row r="796" customFormat="false" ht="14.25" hidden="false" customHeight="false" outlineLevel="0" collapsed="false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6"/>
      <c r="N796" s="16"/>
      <c r="O796" s="16"/>
      <c r="P796" s="16"/>
      <c r="Q796" s="17"/>
    </row>
    <row r="797" customFormat="false" ht="14.25" hidden="false" customHeight="false" outlineLevel="0" collapsed="false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6"/>
      <c r="N797" s="16"/>
      <c r="O797" s="16"/>
      <c r="P797" s="16"/>
      <c r="Q797" s="17"/>
    </row>
    <row r="798" customFormat="false" ht="14.25" hidden="false" customHeight="false" outlineLevel="0" collapsed="false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6"/>
      <c r="N798" s="16"/>
      <c r="O798" s="16"/>
      <c r="P798" s="16"/>
      <c r="Q798" s="17"/>
    </row>
    <row r="799" customFormat="false" ht="14.25" hidden="false" customHeight="false" outlineLevel="0" collapsed="false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6"/>
      <c r="N799" s="16"/>
      <c r="O799" s="16"/>
      <c r="P799" s="16"/>
      <c r="Q799" s="17"/>
    </row>
    <row r="800" customFormat="false" ht="14.25" hidden="false" customHeight="false" outlineLevel="0" collapsed="false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6"/>
      <c r="N800" s="16"/>
      <c r="O800" s="16"/>
      <c r="P800" s="16"/>
      <c r="Q800" s="17"/>
    </row>
    <row r="801" customFormat="false" ht="14.25" hidden="false" customHeight="false" outlineLevel="0" collapsed="false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6"/>
      <c r="N801" s="16"/>
      <c r="O801" s="16"/>
      <c r="P801" s="16"/>
      <c r="Q801" s="17"/>
    </row>
    <row r="802" customFormat="false" ht="14.25" hidden="false" customHeight="false" outlineLevel="0" collapsed="false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6"/>
      <c r="N802" s="16"/>
      <c r="O802" s="16"/>
      <c r="P802" s="16"/>
      <c r="Q802" s="17"/>
    </row>
    <row r="803" customFormat="false" ht="14.25" hidden="false" customHeight="false" outlineLevel="0" collapsed="false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6"/>
      <c r="N803" s="16"/>
      <c r="O803" s="16"/>
      <c r="P803" s="16"/>
      <c r="Q803" s="17"/>
    </row>
    <row r="804" customFormat="false" ht="14.25" hidden="false" customHeight="false" outlineLevel="0" collapsed="false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6"/>
      <c r="N804" s="16"/>
      <c r="O804" s="16"/>
      <c r="P804" s="16"/>
      <c r="Q804" s="17"/>
    </row>
    <row r="805" customFormat="false" ht="14.25" hidden="false" customHeight="false" outlineLevel="0" collapsed="false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6"/>
      <c r="N805" s="16"/>
      <c r="O805" s="16"/>
      <c r="P805" s="16"/>
      <c r="Q805" s="17"/>
    </row>
    <row r="806" customFormat="false" ht="14.25" hidden="false" customHeight="false" outlineLevel="0" collapsed="false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6"/>
      <c r="N806" s="16"/>
      <c r="O806" s="16"/>
      <c r="P806" s="16"/>
      <c r="Q806" s="17"/>
    </row>
    <row r="807" customFormat="false" ht="14.25" hidden="false" customHeight="false" outlineLevel="0" collapsed="false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6"/>
      <c r="N807" s="16"/>
      <c r="O807" s="16"/>
      <c r="P807" s="16"/>
      <c r="Q807" s="17"/>
    </row>
    <row r="808" customFormat="false" ht="14.25" hidden="false" customHeight="false" outlineLevel="0" collapsed="false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6"/>
      <c r="N808" s="16"/>
      <c r="O808" s="16"/>
      <c r="P808" s="16"/>
      <c r="Q808" s="17"/>
    </row>
    <row r="809" customFormat="false" ht="14.25" hidden="false" customHeight="false" outlineLevel="0" collapsed="false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6"/>
      <c r="N809" s="16"/>
      <c r="O809" s="16"/>
      <c r="P809" s="16"/>
      <c r="Q809" s="17"/>
    </row>
    <row r="810" customFormat="false" ht="14.25" hidden="false" customHeight="false" outlineLevel="0" collapsed="false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6"/>
      <c r="N810" s="16"/>
      <c r="O810" s="16"/>
      <c r="P810" s="16"/>
      <c r="Q810" s="17"/>
    </row>
    <row r="811" customFormat="false" ht="14.25" hidden="false" customHeight="false" outlineLevel="0" collapsed="false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6"/>
      <c r="N811" s="16"/>
      <c r="O811" s="16"/>
      <c r="P811" s="16"/>
      <c r="Q811" s="17"/>
    </row>
    <row r="812" customFormat="false" ht="14.25" hidden="false" customHeight="false" outlineLevel="0" collapsed="false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6"/>
      <c r="N812" s="16"/>
      <c r="O812" s="16"/>
      <c r="P812" s="16"/>
      <c r="Q812" s="17"/>
    </row>
    <row r="813" customFormat="false" ht="14.25" hidden="false" customHeight="false" outlineLevel="0" collapsed="false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6"/>
      <c r="N813" s="16"/>
      <c r="O813" s="16"/>
      <c r="P813" s="16"/>
      <c r="Q813" s="17"/>
    </row>
    <row r="814" customFormat="false" ht="14.25" hidden="false" customHeight="false" outlineLevel="0" collapsed="false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6"/>
      <c r="N814" s="16"/>
      <c r="O814" s="16"/>
      <c r="P814" s="16"/>
      <c r="Q814" s="17"/>
    </row>
    <row r="815" customFormat="false" ht="14.25" hidden="false" customHeight="false" outlineLevel="0" collapsed="false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6"/>
      <c r="N815" s="16"/>
      <c r="O815" s="16"/>
      <c r="P815" s="16"/>
      <c r="Q815" s="17"/>
    </row>
    <row r="816" customFormat="false" ht="14.25" hidden="false" customHeight="false" outlineLevel="0" collapsed="false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6"/>
      <c r="N816" s="16"/>
      <c r="O816" s="16"/>
      <c r="P816" s="16"/>
      <c r="Q816" s="17"/>
    </row>
    <row r="817" customFormat="false" ht="14.25" hidden="false" customHeight="false" outlineLevel="0" collapsed="false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6"/>
      <c r="N817" s="16"/>
      <c r="O817" s="16"/>
      <c r="P817" s="16"/>
      <c r="Q817" s="17"/>
    </row>
    <row r="818" customFormat="false" ht="14.25" hidden="false" customHeight="false" outlineLevel="0" collapsed="false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6"/>
      <c r="N818" s="16"/>
      <c r="O818" s="16"/>
      <c r="P818" s="16"/>
      <c r="Q818" s="17"/>
    </row>
    <row r="819" customFormat="false" ht="14.25" hidden="false" customHeight="false" outlineLevel="0" collapsed="false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6"/>
      <c r="N819" s="16"/>
      <c r="O819" s="16"/>
      <c r="P819" s="16"/>
      <c r="Q819" s="17"/>
    </row>
    <row r="820" customFormat="false" ht="14.25" hidden="false" customHeight="false" outlineLevel="0" collapsed="false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6"/>
      <c r="N820" s="16"/>
      <c r="O820" s="16"/>
      <c r="P820" s="16"/>
      <c r="Q820" s="17"/>
    </row>
    <row r="821" customFormat="false" ht="14.25" hidden="false" customHeight="false" outlineLevel="0" collapsed="false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6"/>
      <c r="N821" s="16"/>
      <c r="O821" s="16"/>
      <c r="P821" s="16"/>
      <c r="Q821" s="17"/>
    </row>
    <row r="822" customFormat="false" ht="14.25" hidden="false" customHeight="false" outlineLevel="0" collapsed="false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6"/>
      <c r="N822" s="16"/>
      <c r="O822" s="16"/>
      <c r="P822" s="16"/>
      <c r="Q822" s="17"/>
    </row>
    <row r="823" customFormat="false" ht="14.25" hidden="false" customHeight="false" outlineLevel="0" collapsed="false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6"/>
      <c r="N823" s="16"/>
      <c r="O823" s="16"/>
      <c r="P823" s="16"/>
      <c r="Q823" s="17"/>
    </row>
    <row r="824" customFormat="false" ht="14.25" hidden="false" customHeight="false" outlineLevel="0" collapsed="false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6"/>
      <c r="N824" s="16"/>
      <c r="O824" s="16"/>
      <c r="P824" s="16"/>
      <c r="Q824" s="17"/>
    </row>
    <row r="825" customFormat="false" ht="14.25" hidden="false" customHeight="false" outlineLevel="0" collapsed="false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6"/>
      <c r="N825" s="16"/>
      <c r="O825" s="16"/>
      <c r="P825" s="16"/>
      <c r="Q825" s="17"/>
    </row>
    <row r="826" customFormat="false" ht="14.25" hidden="false" customHeight="false" outlineLevel="0" collapsed="false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6"/>
      <c r="N826" s="16"/>
      <c r="O826" s="16"/>
      <c r="P826" s="16"/>
      <c r="Q826" s="17"/>
    </row>
    <row r="827" customFormat="false" ht="14.25" hidden="false" customHeight="false" outlineLevel="0" collapsed="false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6"/>
      <c r="N827" s="16"/>
      <c r="O827" s="16"/>
      <c r="P827" s="16"/>
      <c r="Q827" s="17"/>
    </row>
    <row r="828" customFormat="false" ht="14.25" hidden="false" customHeight="false" outlineLevel="0" collapsed="false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6"/>
      <c r="N828" s="16"/>
      <c r="O828" s="16"/>
      <c r="P828" s="16"/>
      <c r="Q828" s="17"/>
    </row>
    <row r="829" customFormat="false" ht="14.25" hidden="false" customHeight="false" outlineLevel="0" collapsed="false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6"/>
      <c r="N829" s="16"/>
      <c r="O829" s="16"/>
      <c r="P829" s="16"/>
      <c r="Q829" s="17"/>
    </row>
    <row r="830" customFormat="false" ht="14.25" hidden="false" customHeight="false" outlineLevel="0" collapsed="false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6"/>
      <c r="N830" s="16"/>
      <c r="O830" s="16"/>
      <c r="P830" s="16"/>
      <c r="Q830" s="17"/>
    </row>
    <row r="831" customFormat="false" ht="14.25" hidden="false" customHeight="false" outlineLevel="0" collapsed="false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6"/>
      <c r="N831" s="16"/>
      <c r="O831" s="16"/>
      <c r="P831" s="16"/>
      <c r="Q831" s="17"/>
    </row>
    <row r="832" customFormat="false" ht="14.25" hidden="false" customHeight="false" outlineLevel="0" collapsed="false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6"/>
      <c r="N832" s="16"/>
      <c r="O832" s="16"/>
      <c r="P832" s="16"/>
      <c r="Q832" s="17"/>
    </row>
    <row r="833" customFormat="false" ht="14.25" hidden="false" customHeight="false" outlineLevel="0" collapsed="false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6"/>
      <c r="N833" s="16"/>
      <c r="O833" s="16"/>
      <c r="P833" s="16"/>
      <c r="Q833" s="17"/>
    </row>
    <row r="834" customFormat="false" ht="14.25" hidden="false" customHeight="false" outlineLevel="0" collapsed="false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6"/>
      <c r="N834" s="16"/>
      <c r="O834" s="16"/>
      <c r="P834" s="16"/>
      <c r="Q834" s="17"/>
    </row>
    <row r="835" customFormat="false" ht="14.25" hidden="false" customHeight="false" outlineLevel="0" collapsed="false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6"/>
      <c r="N835" s="16"/>
      <c r="O835" s="16"/>
      <c r="P835" s="16"/>
      <c r="Q835" s="17"/>
    </row>
    <row r="836" customFormat="false" ht="14.25" hidden="false" customHeight="false" outlineLevel="0" collapsed="false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6"/>
      <c r="N836" s="16"/>
      <c r="O836" s="16"/>
      <c r="P836" s="16"/>
      <c r="Q836" s="17"/>
    </row>
    <row r="837" customFormat="false" ht="14.25" hidden="false" customHeight="false" outlineLevel="0" collapsed="false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6"/>
      <c r="N837" s="16"/>
      <c r="O837" s="16"/>
      <c r="P837" s="16"/>
      <c r="Q837" s="17"/>
    </row>
    <row r="838" customFormat="false" ht="14.25" hidden="false" customHeight="false" outlineLevel="0" collapsed="false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6"/>
      <c r="N838" s="16"/>
      <c r="O838" s="16"/>
      <c r="P838" s="16"/>
      <c r="Q838" s="17"/>
    </row>
    <row r="839" customFormat="false" ht="14.25" hidden="false" customHeight="false" outlineLevel="0" collapsed="false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6"/>
      <c r="N839" s="16"/>
      <c r="O839" s="16"/>
      <c r="P839" s="16"/>
      <c r="Q839" s="17"/>
    </row>
    <row r="840" customFormat="false" ht="14.25" hidden="false" customHeight="false" outlineLevel="0" collapsed="false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6"/>
      <c r="N840" s="16"/>
      <c r="O840" s="16"/>
      <c r="P840" s="16"/>
      <c r="Q840" s="17"/>
    </row>
    <row r="841" customFormat="false" ht="14.25" hidden="false" customHeight="false" outlineLevel="0" collapsed="false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6"/>
      <c r="N841" s="16"/>
      <c r="O841" s="16"/>
      <c r="P841" s="16"/>
      <c r="Q841" s="17"/>
    </row>
    <row r="842" customFormat="false" ht="14.25" hidden="false" customHeight="false" outlineLevel="0" collapsed="false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6"/>
      <c r="N842" s="16"/>
      <c r="O842" s="16"/>
      <c r="P842" s="16"/>
      <c r="Q842" s="17"/>
    </row>
    <row r="843" customFormat="false" ht="14.25" hidden="false" customHeight="false" outlineLevel="0" collapsed="false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6"/>
      <c r="N843" s="16"/>
      <c r="O843" s="16"/>
      <c r="P843" s="16"/>
      <c r="Q843" s="17"/>
    </row>
    <row r="844" customFormat="false" ht="14.25" hidden="false" customHeight="false" outlineLevel="0" collapsed="false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6"/>
      <c r="N844" s="16"/>
      <c r="O844" s="16"/>
      <c r="P844" s="16"/>
      <c r="Q844" s="17"/>
    </row>
    <row r="845" customFormat="false" ht="14.25" hidden="false" customHeight="false" outlineLevel="0" collapsed="false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6"/>
      <c r="N845" s="16"/>
      <c r="O845" s="16"/>
      <c r="P845" s="16"/>
      <c r="Q845" s="17"/>
    </row>
    <row r="846" customFormat="false" ht="14.25" hidden="false" customHeight="false" outlineLevel="0" collapsed="false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6"/>
      <c r="N846" s="16"/>
      <c r="O846" s="16"/>
      <c r="P846" s="16"/>
      <c r="Q846" s="17"/>
    </row>
    <row r="847" customFormat="false" ht="14.25" hidden="false" customHeight="false" outlineLevel="0" collapsed="false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6"/>
      <c r="N847" s="16"/>
      <c r="O847" s="16"/>
      <c r="P847" s="16"/>
      <c r="Q847" s="17"/>
    </row>
    <row r="848" customFormat="false" ht="14.25" hidden="false" customHeight="false" outlineLevel="0" collapsed="false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6"/>
      <c r="N848" s="16"/>
      <c r="O848" s="16"/>
      <c r="P848" s="16"/>
      <c r="Q848" s="17"/>
    </row>
    <row r="849" customFormat="false" ht="14.25" hidden="false" customHeight="false" outlineLevel="0" collapsed="false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6"/>
      <c r="N849" s="16"/>
      <c r="O849" s="16"/>
      <c r="P849" s="16"/>
      <c r="Q849" s="17"/>
    </row>
    <row r="850" customFormat="false" ht="14.25" hidden="false" customHeight="false" outlineLevel="0" collapsed="false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</row>
    <row r="851" customFormat="false" ht="14.25" hidden="false" customHeight="false" outlineLevel="0" collapsed="false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</row>
    <row r="852" customFormat="false" ht="14.25" hidden="false" customHeight="false" outlineLevel="0" collapsed="false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</row>
    <row r="853" customFormat="false" ht="14.25" hidden="false" customHeight="false" outlineLevel="0" collapsed="false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</row>
    <row r="854" customFormat="false" ht="14.25" hidden="false" customHeight="false" outlineLevel="0" collapsed="false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</row>
    <row r="855" customFormat="false" ht="14.25" hidden="false" customHeight="false" outlineLevel="0" collapsed="false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</row>
    <row r="856" customFormat="false" ht="14.25" hidden="false" customHeight="false" outlineLevel="0" collapsed="false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</row>
    <row r="857" customFormat="false" ht="14.25" hidden="false" customHeight="false" outlineLevel="0" collapsed="false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</row>
    <row r="858" customFormat="false" ht="14.25" hidden="false" customHeight="false" outlineLevel="0" collapsed="false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</row>
    <row r="859" customFormat="false" ht="14.25" hidden="false" customHeight="false" outlineLevel="0" collapsed="false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</row>
    <row r="860" customFormat="false" ht="14.25" hidden="false" customHeight="false" outlineLevel="0" collapsed="false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</row>
    <row r="861" customFormat="false" ht="14.25" hidden="false" customHeight="false" outlineLevel="0" collapsed="false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</row>
    <row r="862" customFormat="false" ht="14.25" hidden="false" customHeight="false" outlineLevel="0" collapsed="false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</row>
    <row r="863" customFormat="false" ht="14.25" hidden="false" customHeight="false" outlineLevel="0" collapsed="false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</row>
    <row r="864" customFormat="false" ht="14.25" hidden="false" customHeight="false" outlineLevel="0" collapsed="false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</row>
    <row r="865" customFormat="false" ht="14.25" hidden="false" customHeight="false" outlineLevel="0" collapsed="false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</row>
    <row r="866" customFormat="false" ht="14.25" hidden="false" customHeight="false" outlineLevel="0" collapsed="false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</row>
    <row r="867" customFormat="false" ht="14.25" hidden="false" customHeight="false" outlineLevel="0" collapsed="false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</row>
    <row r="868" customFormat="false" ht="14.25" hidden="false" customHeight="false" outlineLevel="0" collapsed="false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</row>
    <row r="869" customFormat="false" ht="14.25" hidden="false" customHeight="false" outlineLevel="0" collapsed="false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</row>
    <row r="870" customFormat="false" ht="14.25" hidden="false" customHeight="false" outlineLevel="0" collapsed="false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</row>
    <row r="871" customFormat="false" ht="14.25" hidden="false" customHeight="false" outlineLevel="0" collapsed="false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</row>
    <row r="872" customFormat="false" ht="14.25" hidden="false" customHeight="false" outlineLevel="0" collapsed="false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</row>
    <row r="873" customFormat="false" ht="14.25" hidden="false" customHeight="false" outlineLevel="0" collapsed="false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</row>
    <row r="874" customFormat="false" ht="14.25" hidden="false" customHeight="false" outlineLevel="0" collapsed="false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</row>
    <row r="875" customFormat="false" ht="14.25" hidden="false" customHeight="false" outlineLevel="0" collapsed="false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</row>
    <row r="876" customFormat="false" ht="14.25" hidden="false" customHeight="false" outlineLevel="0" collapsed="false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</row>
    <row r="877" customFormat="false" ht="14.25" hidden="false" customHeight="false" outlineLevel="0" collapsed="false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</row>
    <row r="878" customFormat="false" ht="14.25" hidden="false" customHeight="false" outlineLevel="0" collapsed="false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</row>
    <row r="879" customFormat="false" ht="14.25" hidden="false" customHeight="false" outlineLevel="0" collapsed="false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</row>
    <row r="880" customFormat="false" ht="14.25" hidden="false" customHeight="false" outlineLevel="0" collapsed="false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</row>
    <row r="881" customFormat="false" ht="14.25" hidden="false" customHeight="false" outlineLevel="0" collapsed="false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</row>
    <row r="882" customFormat="false" ht="14.25" hidden="false" customHeight="false" outlineLevel="0" collapsed="false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</row>
    <row r="883" customFormat="false" ht="14.25" hidden="false" customHeight="false" outlineLevel="0" collapsed="false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</row>
    <row r="884" customFormat="false" ht="14.25" hidden="false" customHeight="false" outlineLevel="0" collapsed="false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</row>
    <row r="885" customFormat="false" ht="14.25" hidden="false" customHeight="false" outlineLevel="0" collapsed="false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</row>
    <row r="886" customFormat="false" ht="14.25" hidden="false" customHeight="false" outlineLevel="0" collapsed="false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</row>
    <row r="887" customFormat="false" ht="14.25" hidden="false" customHeight="false" outlineLevel="0" collapsed="false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</row>
    <row r="888" customFormat="false" ht="14.25" hidden="false" customHeight="false" outlineLevel="0" collapsed="false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</row>
    <row r="889" customFormat="false" ht="14.25" hidden="false" customHeight="false" outlineLevel="0" collapsed="false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</row>
    <row r="890" customFormat="false" ht="14.25" hidden="false" customHeight="false" outlineLevel="0" collapsed="false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</row>
    <row r="891" customFormat="false" ht="14.25" hidden="false" customHeight="false" outlineLevel="0" collapsed="false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</row>
    <row r="892" customFormat="false" ht="14.25" hidden="false" customHeight="false" outlineLevel="0" collapsed="false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</row>
    <row r="893" customFormat="false" ht="14.25" hidden="false" customHeight="false" outlineLevel="0" collapsed="false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</row>
    <row r="894" customFormat="false" ht="14.25" hidden="false" customHeight="false" outlineLevel="0" collapsed="false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</row>
    <row r="895" customFormat="false" ht="14.25" hidden="false" customHeight="false" outlineLevel="0" collapsed="false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</row>
    <row r="896" customFormat="false" ht="14.25" hidden="false" customHeight="false" outlineLevel="0" collapsed="false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</row>
    <row r="897" customFormat="false" ht="14.25" hidden="false" customHeight="false" outlineLevel="0" collapsed="false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</row>
    <row r="898" customFormat="false" ht="14.25" hidden="false" customHeight="false" outlineLevel="0" collapsed="false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</row>
    <row r="899" customFormat="false" ht="14.25" hidden="false" customHeight="false" outlineLevel="0" collapsed="false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</row>
    <row r="900" customFormat="false" ht="14.25" hidden="false" customHeight="false" outlineLevel="0" collapsed="false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</row>
    <row r="901" customFormat="false" ht="14.25" hidden="false" customHeight="false" outlineLevel="0" collapsed="false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</row>
    <row r="902" customFormat="false" ht="14.25" hidden="false" customHeight="false" outlineLevel="0" collapsed="false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</row>
    <row r="903" customFormat="false" ht="14.25" hidden="false" customHeight="false" outlineLevel="0" collapsed="false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</row>
    <row r="904" customFormat="false" ht="14.25" hidden="false" customHeight="false" outlineLevel="0" collapsed="false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</row>
    <row r="905" customFormat="false" ht="14.25" hidden="false" customHeight="false" outlineLevel="0" collapsed="false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</row>
    <row r="906" customFormat="false" ht="14.25" hidden="false" customHeight="false" outlineLevel="0" collapsed="false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</row>
    <row r="907" customFormat="false" ht="14.25" hidden="false" customHeight="false" outlineLevel="0" collapsed="false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</row>
    <row r="908" customFormat="false" ht="14.25" hidden="false" customHeight="false" outlineLevel="0" collapsed="false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</row>
    <row r="909" customFormat="false" ht="14.25" hidden="false" customHeight="false" outlineLevel="0" collapsed="false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</row>
    <row r="910" customFormat="false" ht="14.25" hidden="false" customHeight="false" outlineLevel="0" collapsed="false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</row>
    <row r="911" customFormat="false" ht="14.25" hidden="false" customHeight="false" outlineLevel="0" collapsed="false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</row>
    <row r="912" customFormat="false" ht="14.25" hidden="false" customHeight="false" outlineLevel="0" collapsed="false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</row>
    <row r="913" customFormat="false" ht="14.25" hidden="false" customHeight="false" outlineLevel="0" collapsed="false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</row>
    <row r="914" customFormat="false" ht="14.25" hidden="false" customHeight="false" outlineLevel="0" collapsed="false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</row>
    <row r="915" customFormat="false" ht="14.25" hidden="false" customHeight="false" outlineLevel="0" collapsed="false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</row>
    <row r="916" customFormat="false" ht="14.25" hidden="false" customHeight="false" outlineLevel="0" collapsed="false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</row>
    <row r="917" customFormat="false" ht="14.25" hidden="false" customHeight="false" outlineLevel="0" collapsed="false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</row>
    <row r="918" customFormat="false" ht="14.25" hidden="false" customHeight="false" outlineLevel="0" collapsed="false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</row>
    <row r="919" customFormat="false" ht="14.25" hidden="false" customHeight="false" outlineLevel="0" collapsed="false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</row>
    <row r="920" customFormat="false" ht="14.25" hidden="false" customHeight="false" outlineLevel="0" collapsed="false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</row>
    <row r="921" customFormat="false" ht="14.25" hidden="false" customHeight="false" outlineLevel="0" collapsed="false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</row>
    <row r="922" customFormat="false" ht="14.25" hidden="false" customHeight="false" outlineLevel="0" collapsed="false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</row>
    <row r="923" customFormat="false" ht="14.25" hidden="false" customHeight="false" outlineLevel="0" collapsed="false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</row>
    <row r="924" customFormat="false" ht="14.25" hidden="false" customHeight="false" outlineLevel="0" collapsed="false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</row>
    <row r="925" customFormat="false" ht="14.25" hidden="false" customHeight="false" outlineLevel="0" collapsed="false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</row>
    <row r="926" customFormat="false" ht="14.25" hidden="false" customHeight="false" outlineLevel="0" collapsed="false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</row>
    <row r="927" customFormat="false" ht="14.25" hidden="false" customHeight="false" outlineLevel="0" collapsed="false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</row>
    <row r="928" customFormat="false" ht="14.25" hidden="false" customHeight="false" outlineLevel="0" collapsed="false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</row>
    <row r="929" customFormat="false" ht="14.25" hidden="false" customHeight="false" outlineLevel="0" collapsed="false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</row>
    <row r="930" customFormat="false" ht="14.25" hidden="false" customHeight="false" outlineLevel="0" collapsed="false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</row>
    <row r="931" customFormat="false" ht="14.25" hidden="false" customHeight="false" outlineLevel="0" collapsed="false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</row>
    <row r="932" customFormat="false" ht="14.25" hidden="false" customHeight="false" outlineLevel="0" collapsed="false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</row>
    <row r="933" customFormat="false" ht="14.25" hidden="false" customHeight="false" outlineLevel="0" collapsed="false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</row>
    <row r="934" customFormat="false" ht="14.25" hidden="false" customHeight="false" outlineLevel="0" collapsed="false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</row>
    <row r="935" customFormat="false" ht="14.25" hidden="false" customHeight="false" outlineLevel="0" collapsed="false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</row>
    <row r="936" customFormat="false" ht="14.25" hidden="false" customHeight="false" outlineLevel="0" collapsed="false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</row>
    <row r="937" customFormat="false" ht="14.25" hidden="false" customHeight="false" outlineLevel="0" collapsed="false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</row>
    <row r="938" customFormat="false" ht="14.25" hidden="false" customHeight="false" outlineLevel="0" collapsed="false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</row>
    <row r="939" customFormat="false" ht="14.25" hidden="false" customHeight="false" outlineLevel="0" collapsed="false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</row>
    <row r="940" customFormat="false" ht="14.25" hidden="false" customHeight="false" outlineLevel="0" collapsed="false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</row>
    <row r="941" customFormat="false" ht="14.25" hidden="false" customHeight="false" outlineLevel="0" collapsed="false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</row>
    <row r="942" customFormat="false" ht="14.25" hidden="false" customHeight="false" outlineLevel="0" collapsed="false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</row>
    <row r="943" customFormat="false" ht="14.25" hidden="false" customHeight="false" outlineLevel="0" collapsed="false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</row>
    <row r="944" customFormat="false" ht="14.25" hidden="false" customHeight="false" outlineLevel="0" collapsed="false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</row>
    <row r="945" customFormat="false" ht="14.25" hidden="false" customHeight="false" outlineLevel="0" collapsed="false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</row>
    <row r="946" customFormat="false" ht="14.25" hidden="false" customHeight="false" outlineLevel="0" collapsed="false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</row>
    <row r="947" customFormat="false" ht="14.25" hidden="false" customHeight="false" outlineLevel="0" collapsed="false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</row>
    <row r="948" customFormat="false" ht="14.25" hidden="false" customHeight="false" outlineLevel="0" collapsed="false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</row>
  </sheetData>
  <autoFilter ref="A1:R2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LibreOffice/25.8.1.1$Windows_X86_64 LibreOffice_project/54047653041915e595ad4e45cccea684809c77b5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Jose Antonio Silva Gonzalez</dc:creator>
  <dc:description/>
  <dc:language>es-ES</dc:language>
  <cp:lastModifiedBy/>
  <dcterms:modified xsi:type="dcterms:W3CDTF">2025-10-20T08:35:47Z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