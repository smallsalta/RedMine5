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silva\Desktop\"/>
    </mc:Choice>
  </mc:AlternateContent>
  <xr:revisionPtr revIDLastSave="0" documentId="13_ncr:1_{36DD3E55-D9AB-408B-B730-2F397640D70A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Base" sheetId="1" r:id="rId1"/>
    <sheet name="Gestión" sheetId="3" r:id="rId2"/>
    <sheet name="Choque" sheetId="2" r:id="rId3"/>
    <sheet name="Resumen" sheetId="4" r:id="rId4"/>
  </sheets>
  <definedNames>
    <definedName name="_xlnm._FilterDatabase" localSheetId="0" hidden="1">Base!$A$1:$D$309</definedName>
    <definedName name="_xlnm._FilterDatabase" localSheetId="2" hidden="1">Choque!$A$1:$D$1</definedName>
    <definedName name="_xlnm._FilterDatabase" localSheetId="1" hidden="1">Gestión!$A$1:$D$1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2" i="2"/>
  <c r="G3" i="1"/>
  <c r="D4" i="4" s="1"/>
  <c r="G2" i="1"/>
  <c r="G3" i="3"/>
  <c r="C4" i="4" s="1"/>
  <c r="D9" i="4" s="1"/>
  <c r="G9" i="4" s="1"/>
  <c r="G2" i="3"/>
  <c r="C3" i="4" s="1"/>
  <c r="D8" i="4" s="1"/>
  <c r="G8" i="4" s="1"/>
  <c r="F4" i="4" l="1"/>
  <c r="F8" i="4"/>
  <c r="E3" i="4"/>
  <c r="F9" i="4"/>
  <c r="E4" i="4"/>
  <c r="E5" i="4" s="1"/>
  <c r="C8" i="4"/>
  <c r="E8" i="4" s="1"/>
  <c r="D3" i="4"/>
  <c r="F3" i="4" s="1"/>
  <c r="H8" i="4"/>
  <c r="H9" i="4"/>
  <c r="H10" i="4" s="1"/>
  <c r="G5" i="2"/>
  <c r="G5" i="3"/>
  <c r="C5" i="4" s="1"/>
  <c r="G5" i="1"/>
  <c r="D5" i="4" s="1"/>
  <c r="C9" i="4"/>
  <c r="E9" i="4" s="1"/>
  <c r="E10" i="4" l="1"/>
  <c r="F5" i="4"/>
  <c r="D14" i="4"/>
  <c r="D15" i="4" s="1"/>
  <c r="I8" i="4"/>
  <c r="C13" i="4" s="1"/>
  <c r="E13" i="4" s="1"/>
  <c r="I9" i="4"/>
  <c r="C14" i="4"/>
  <c r="C15" i="4" s="1"/>
  <c r="E14" i="4" l="1"/>
  <c r="E15" i="4" s="1"/>
  <c r="I10" i="4"/>
</calcChain>
</file>

<file path=xl/sharedStrings.xml><?xml version="1.0" encoding="utf-8"?>
<sst xmlns="http://schemas.openxmlformats.org/spreadsheetml/2006/main" count="40" uniqueCount="16">
  <si>
    <t>ID PETICIÓN</t>
  </si>
  <si>
    <t>REPARTO</t>
  </si>
  <si>
    <t>REPARTO ISOTROL</t>
  </si>
  <si>
    <t>REPARTO NTT</t>
  </si>
  <si>
    <t>Isotrol</t>
  </si>
  <si>
    <t>NTT</t>
  </si>
  <si>
    <t>Base No Gestión</t>
  </si>
  <si>
    <t>Base Gestión</t>
  </si>
  <si>
    <t>Choque</t>
  </si>
  <si>
    <t>Choque No Gestión</t>
  </si>
  <si>
    <t>Choque Gestión</t>
  </si>
  <si>
    <t>UTE</t>
  </si>
  <si>
    <t>Gestión</t>
  </si>
  <si>
    <t>Total</t>
  </si>
  <si>
    <t>Base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</si>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</sst>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44" fontId="0" fillId="3" borderId="0" xfId="1" applyFont="1" applyFill="1"/>
    <xf numFmtId="44" fontId="0" fillId="3" borderId="0" xfId="0" applyNumberFormat="1" applyFill="1"/>
    <xf numFmtId="44" fontId="2" fillId="2" borderId="0" xfId="1" applyFont="1" applyFill="1"/>
    <xf numFmtId="0" fontId="0" fillId="0" borderId="0" xfId="0" applyFill="1"/>
    <xf numFmtId="44" fontId="0" fillId="0" borderId="0" xfId="1" applyFont="1" applyFill="1"/>
    <xf numFmtId="44" fontId="0" fillId="0" borderId="0" xfId="0" applyNumberFormat="1" applyFill="1"/>
    <xf numFmtId="0" fontId="2" fillId="2" borderId="0" xfId="0" applyFont="1" applyFill="1" applyAlignment="1">
      <alignment horizontal="center"/>
    </xf>
    <xf numFmtId="44" fontId="0" fillId="4" borderId="0" xfId="1" applyFont="1" applyFill="1"/>
    <xf numFmtId="44" fontId="0" fillId="5" borderId="0" xfId="0" applyNumberFormat="1" applyFill="1"/>
    <xf numFmtId="44" fontId="0" fillId="6" borderId="0" xfId="0" applyNumberFormat="1" applyFill="1"/>
    <xf numFmtId="0" fontId="3" fillId="0" borderId="0" xfId="0" applyFont="1"/>
    <xf numFmtId="44" fontId="3" fillId="0" borderId="0" xfId="1" applyFont="1"/>
    <xf numFmtId="44" fontId="0" fillId="7" borderId="0" xfId="0" applyNumberFormat="1" applyFill="1"/>
    <xf numFmtId="44" fontId="0" fillId="8" borderId="0" xfId="0" applyNumberFormat="1" applyFill="1"/>
    <xf numFmtId="0" fontId="0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9"/>
  <sheetViews>
    <sheetView workbookViewId="0">
      <selection activeCell="D268" sqref="A1:D268"/>
    </sheetView>
  </sheetViews>
  <sheetFormatPr baseColWidth="10" defaultColWidth="8.88671875" defaultRowHeight="14.4" x14ac:dyDescent="0.3"/>
  <cols>
    <col min="1" max="1" width="13.33203125" bestFit="1" customWidth="1"/>
    <col min="2" max="2" width="12.21875" style="2" bestFit="1" customWidth="1"/>
    <col min="3" max="3" width="19.88671875" style="2" bestFit="1" customWidth="1"/>
    <col min="4" max="4" width="16" style="2" bestFit="1" customWidth="1"/>
    <col min="6" max="6" width="6.33203125" bestFit="1" customWidth="1"/>
    <col min="7" max="7" width="11.77734375" bestFit="1" customWidth="1"/>
    <col min="9" max="9" width="12.77734375" bestFit="1" customWidth="1"/>
  </cols>
  <sheetData>
    <row r="1" spans="1:13" x14ac:dyDescent="0.3">
      <c r="A1" s="1" t="s">
        <v>0</v>
      </c>
      <c r="B1" s="7" t="s">
        <v>1</v>
      </c>
      <c r="C1" s="7" t="s">
        <v>2</v>
      </c>
      <c r="D1" s="7" t="s">
        <v>3</v>
      </c>
    </row>
    <row r="2" spans="1:13" x14ac:dyDescent="0.3">
      <c r="A2" s="19">
        <v>140812</v>
      </c>
      <c r="B2" s="2">
        <v>7.88</v>
      </c>
      <c r="C2" s="2">
        <v>7.88</v>
      </c>
      <c r="D2" s="2">
        <v>0</v>
      </c>
      <c r="F2" s="4" t="s">
        <v>4</v>
      </c>
      <c r="G2" s="5">
        <f>SUM(C:C)</f>
        <v>30879.62</v>
      </c>
    </row>
    <row r="3" spans="1:13" x14ac:dyDescent="0.3">
      <c r="A3" s="19">
        <v>141053</v>
      </c>
      <c r="B3" s="2">
        <v>10</v>
      </c>
      <c r="C3" s="2">
        <v>0</v>
      </c>
      <c r="D3" s="2">
        <v>10</v>
      </c>
      <c r="F3" s="4" t="s">
        <v>5</v>
      </c>
      <c r="G3" s="5">
        <f>SUM(D:D)</f>
        <v>48755.5</v>
      </c>
    </row>
    <row r="4" spans="1:13" x14ac:dyDescent="0.3">
      <c r="A4" s="19">
        <v>140736</v>
      </c>
      <c r="B4" s="2">
        <v>10</v>
      </c>
      <c r="C4" s="2">
        <v>10</v>
      </c>
      <c r="D4" s="2">
        <v>0</v>
      </c>
      <c r="F4" s="4"/>
      <c r="G4" s="4"/>
    </row>
    <row r="5" spans="1:13" x14ac:dyDescent="0.3">
      <c r="A5" s="19">
        <v>140227</v>
      </c>
      <c r="B5" s="2">
        <v>10</v>
      </c>
      <c r="C5" s="2">
        <v>10</v>
      </c>
      <c r="D5" s="2">
        <v>0</v>
      </c>
      <c r="F5" s="4"/>
      <c r="G5" s="6">
        <f>G3+G2</f>
        <v>79635.12</v>
      </c>
    </row>
    <row r="6" spans="1:13" x14ac:dyDescent="0.3">
      <c r="A6" s="19">
        <v>140745</v>
      </c>
      <c r="B6" s="2">
        <v>15.75</v>
      </c>
      <c r="C6" s="2">
        <v>15.75</v>
      </c>
      <c r="D6" s="2">
        <v>0</v>
      </c>
    </row>
    <row r="7" spans="1:13" x14ac:dyDescent="0.3">
      <c r="A7" s="19">
        <v>139495</v>
      </c>
      <c r="B7" s="2">
        <v>15.75</v>
      </c>
      <c r="C7" s="2">
        <v>15.75</v>
      </c>
      <c r="D7" s="2">
        <v>0</v>
      </c>
    </row>
    <row r="8" spans="1:13" x14ac:dyDescent="0.3">
      <c r="A8" s="19">
        <v>138803</v>
      </c>
      <c r="B8" s="2">
        <v>15.75</v>
      </c>
      <c r="C8" s="2">
        <v>15.75</v>
      </c>
      <c r="D8" s="2">
        <v>0</v>
      </c>
    </row>
    <row r="9" spans="1:13" x14ac:dyDescent="0.3">
      <c r="A9" s="19">
        <v>140700</v>
      </c>
      <c r="B9" s="2">
        <v>20</v>
      </c>
      <c r="C9" s="2">
        <v>0</v>
      </c>
      <c r="D9" s="2">
        <v>20</v>
      </c>
    </row>
    <row r="10" spans="1:13" x14ac:dyDescent="0.3">
      <c r="A10" s="19">
        <v>140646</v>
      </c>
      <c r="B10" s="2">
        <v>20</v>
      </c>
      <c r="C10" s="2">
        <v>20</v>
      </c>
      <c r="D10" s="2">
        <v>0</v>
      </c>
    </row>
    <row r="11" spans="1:13" x14ac:dyDescent="0.3">
      <c r="A11" s="19">
        <v>140247</v>
      </c>
      <c r="B11" s="2">
        <v>20</v>
      </c>
      <c r="C11" s="2">
        <v>20</v>
      </c>
      <c r="D11" s="2">
        <v>0</v>
      </c>
    </row>
    <row r="12" spans="1:13" x14ac:dyDescent="0.3">
      <c r="A12" s="19">
        <v>138931</v>
      </c>
      <c r="B12" s="2">
        <v>20</v>
      </c>
      <c r="C12" s="2">
        <v>20</v>
      </c>
      <c r="D12" s="2">
        <v>0</v>
      </c>
    </row>
    <row r="13" spans="1:13" x14ac:dyDescent="0.3">
      <c r="A13" s="19">
        <v>141027</v>
      </c>
      <c r="B13" s="2">
        <v>30</v>
      </c>
      <c r="C13" s="2">
        <v>0</v>
      </c>
      <c r="D13" s="2">
        <v>30</v>
      </c>
    </row>
    <row r="14" spans="1:13" x14ac:dyDescent="0.3">
      <c r="A14" s="19">
        <v>140960</v>
      </c>
      <c r="B14" s="2">
        <v>30</v>
      </c>
      <c r="C14" s="2">
        <v>0</v>
      </c>
      <c r="D14" s="2">
        <v>30</v>
      </c>
    </row>
    <row r="15" spans="1:13" x14ac:dyDescent="0.3">
      <c r="A15" s="19">
        <v>140947</v>
      </c>
      <c r="B15" s="2">
        <v>30</v>
      </c>
      <c r="C15" s="2">
        <v>0</v>
      </c>
      <c r="D15" s="2">
        <v>30</v>
      </c>
    </row>
    <row r="16" spans="1:13" x14ac:dyDescent="0.3">
      <c r="A16" s="19">
        <v>140918</v>
      </c>
      <c r="B16" s="2">
        <v>30</v>
      </c>
      <c r="C16" s="2">
        <v>30</v>
      </c>
      <c r="D16" s="2">
        <v>0</v>
      </c>
      <c r="J16" s="15"/>
      <c r="K16" s="16"/>
      <c r="L16" s="16"/>
      <c r="M16" s="16"/>
    </row>
    <row r="17" spans="1:4" x14ac:dyDescent="0.3">
      <c r="A17" s="19">
        <v>140896</v>
      </c>
      <c r="B17" s="2">
        <v>30</v>
      </c>
      <c r="C17" s="2">
        <v>30</v>
      </c>
      <c r="D17" s="2">
        <v>0</v>
      </c>
    </row>
    <row r="18" spans="1:4" x14ac:dyDescent="0.3">
      <c r="A18" s="19">
        <v>140895</v>
      </c>
      <c r="B18" s="2">
        <v>30</v>
      </c>
      <c r="C18" s="2">
        <v>30</v>
      </c>
      <c r="D18" s="2">
        <v>0</v>
      </c>
    </row>
    <row r="19" spans="1:4" x14ac:dyDescent="0.3">
      <c r="A19" s="19">
        <v>140830</v>
      </c>
      <c r="B19" s="2">
        <v>30</v>
      </c>
      <c r="C19" s="2">
        <v>0</v>
      </c>
      <c r="D19" s="2">
        <v>30</v>
      </c>
    </row>
    <row r="20" spans="1:4" x14ac:dyDescent="0.3">
      <c r="A20" s="19">
        <v>140530</v>
      </c>
      <c r="B20" s="2">
        <v>30</v>
      </c>
      <c r="C20" s="2">
        <v>0</v>
      </c>
      <c r="D20" s="2">
        <v>30</v>
      </c>
    </row>
    <row r="21" spans="1:4" x14ac:dyDescent="0.3">
      <c r="A21" s="19">
        <v>140714</v>
      </c>
      <c r="B21" s="2">
        <v>31.5</v>
      </c>
      <c r="C21" s="2">
        <v>31.5</v>
      </c>
      <c r="D21" s="2">
        <v>0</v>
      </c>
    </row>
    <row r="22" spans="1:4" x14ac:dyDescent="0.3">
      <c r="A22" s="19">
        <v>141098</v>
      </c>
      <c r="B22" s="2">
        <v>40</v>
      </c>
      <c r="C22" s="2">
        <v>0</v>
      </c>
      <c r="D22" s="2">
        <v>40</v>
      </c>
    </row>
    <row r="23" spans="1:4" x14ac:dyDescent="0.3">
      <c r="A23" s="19">
        <v>141096</v>
      </c>
      <c r="B23" s="2">
        <v>40</v>
      </c>
      <c r="C23" s="2">
        <v>0</v>
      </c>
      <c r="D23" s="2">
        <v>40</v>
      </c>
    </row>
    <row r="24" spans="1:4" x14ac:dyDescent="0.3">
      <c r="A24" s="19">
        <v>141094</v>
      </c>
      <c r="B24" s="2">
        <v>40</v>
      </c>
      <c r="C24" s="2">
        <v>40</v>
      </c>
      <c r="D24" s="2">
        <v>0</v>
      </c>
    </row>
    <row r="25" spans="1:4" x14ac:dyDescent="0.3">
      <c r="A25" s="19">
        <v>141025</v>
      </c>
      <c r="B25" s="2">
        <v>40</v>
      </c>
      <c r="C25" s="2">
        <v>0</v>
      </c>
      <c r="D25" s="2">
        <v>40</v>
      </c>
    </row>
    <row r="26" spans="1:4" x14ac:dyDescent="0.3">
      <c r="A26" s="19">
        <v>140938</v>
      </c>
      <c r="B26" s="2">
        <v>40</v>
      </c>
      <c r="C26" s="2">
        <v>0</v>
      </c>
      <c r="D26" s="2">
        <v>40</v>
      </c>
    </row>
    <row r="27" spans="1:4" x14ac:dyDescent="0.3">
      <c r="A27" s="19">
        <v>140932</v>
      </c>
      <c r="B27" s="2">
        <v>40</v>
      </c>
      <c r="C27" s="2">
        <v>0</v>
      </c>
      <c r="D27" s="2">
        <v>40</v>
      </c>
    </row>
    <row r="28" spans="1:4" x14ac:dyDescent="0.3">
      <c r="A28" s="19">
        <v>140905</v>
      </c>
      <c r="B28" s="2">
        <v>40</v>
      </c>
      <c r="C28" s="2">
        <v>0</v>
      </c>
      <c r="D28" s="2">
        <v>40</v>
      </c>
    </row>
    <row r="29" spans="1:4" x14ac:dyDescent="0.3">
      <c r="A29" s="19">
        <v>140898</v>
      </c>
      <c r="B29" s="2">
        <v>40</v>
      </c>
      <c r="C29" s="2">
        <v>40</v>
      </c>
      <c r="D29" s="2">
        <v>0</v>
      </c>
    </row>
    <row r="30" spans="1:4" x14ac:dyDescent="0.3">
      <c r="A30" s="19">
        <v>140897</v>
      </c>
      <c r="B30" s="2">
        <v>40</v>
      </c>
      <c r="C30" s="2">
        <v>40</v>
      </c>
      <c r="D30" s="2">
        <v>0</v>
      </c>
    </row>
    <row r="31" spans="1:4" x14ac:dyDescent="0.3">
      <c r="A31" s="19">
        <v>140894</v>
      </c>
      <c r="B31" s="2">
        <v>40</v>
      </c>
      <c r="C31" s="2">
        <v>0</v>
      </c>
      <c r="D31" s="2">
        <v>40</v>
      </c>
    </row>
    <row r="32" spans="1:4" x14ac:dyDescent="0.3">
      <c r="A32" s="19">
        <v>140885</v>
      </c>
      <c r="B32" s="2">
        <v>40</v>
      </c>
      <c r="C32" s="2">
        <v>40</v>
      </c>
      <c r="D32" s="2">
        <v>0</v>
      </c>
    </row>
    <row r="33" spans="1:19" x14ac:dyDescent="0.3">
      <c r="A33" s="19">
        <v>140884</v>
      </c>
      <c r="B33" s="2">
        <v>40</v>
      </c>
      <c r="C33" s="2">
        <v>0</v>
      </c>
      <c r="D33" s="2">
        <v>40</v>
      </c>
      <c r="S33" t="s">
        <v>15</v>
      </c>
    </row>
    <row r="34" spans="1:19" x14ac:dyDescent="0.3">
      <c r="A34" s="19">
        <v>140880</v>
      </c>
      <c r="B34" s="2">
        <v>40</v>
      </c>
      <c r="C34" s="2">
        <v>0</v>
      </c>
      <c r="D34" s="2">
        <v>40</v>
      </c>
    </row>
    <row r="35" spans="1:19" x14ac:dyDescent="0.3">
      <c r="A35" s="19">
        <v>140864</v>
      </c>
      <c r="B35" s="2">
        <v>40</v>
      </c>
      <c r="C35" s="2">
        <v>40</v>
      </c>
      <c r="D35" s="2">
        <v>0</v>
      </c>
    </row>
    <row r="36" spans="1:19" x14ac:dyDescent="0.3">
      <c r="A36" s="19">
        <v>140853</v>
      </c>
      <c r="B36" s="2">
        <v>40</v>
      </c>
      <c r="C36" s="2">
        <v>40</v>
      </c>
      <c r="D36" s="2">
        <v>0</v>
      </c>
    </row>
    <row r="37" spans="1:19" x14ac:dyDescent="0.3">
      <c r="A37" s="19">
        <v>140851</v>
      </c>
      <c r="B37" s="2">
        <v>40</v>
      </c>
      <c r="C37" s="2">
        <v>0</v>
      </c>
      <c r="D37" s="2">
        <v>40</v>
      </c>
    </row>
    <row r="38" spans="1:19" x14ac:dyDescent="0.3">
      <c r="A38" s="19">
        <v>140847</v>
      </c>
      <c r="B38" s="2">
        <v>40</v>
      </c>
      <c r="C38" s="2">
        <v>0</v>
      </c>
      <c r="D38" s="2">
        <v>40</v>
      </c>
    </row>
    <row r="39" spans="1:19" x14ac:dyDescent="0.3">
      <c r="A39" s="19">
        <v>140843</v>
      </c>
      <c r="B39" s="2">
        <v>40</v>
      </c>
      <c r="C39" s="2">
        <v>0</v>
      </c>
      <c r="D39" s="2">
        <v>40</v>
      </c>
    </row>
    <row r="40" spans="1:19" x14ac:dyDescent="0.3">
      <c r="A40" s="19">
        <v>140834</v>
      </c>
      <c r="B40" s="2">
        <v>40</v>
      </c>
      <c r="C40" s="2">
        <v>0</v>
      </c>
      <c r="D40" s="2">
        <v>40</v>
      </c>
    </row>
    <row r="41" spans="1:19" x14ac:dyDescent="0.3">
      <c r="A41" s="19">
        <v>140833</v>
      </c>
      <c r="B41" s="2">
        <v>40</v>
      </c>
      <c r="C41" s="2">
        <v>40</v>
      </c>
      <c r="D41" s="2">
        <v>0</v>
      </c>
    </row>
    <row r="42" spans="1:19" x14ac:dyDescent="0.3">
      <c r="A42" s="19">
        <v>140832</v>
      </c>
      <c r="B42" s="2">
        <v>40</v>
      </c>
      <c r="C42" s="2">
        <v>40</v>
      </c>
      <c r="D42" s="2">
        <v>0</v>
      </c>
    </row>
    <row r="43" spans="1:19" x14ac:dyDescent="0.3">
      <c r="A43" s="19">
        <v>140828</v>
      </c>
      <c r="B43" s="2">
        <v>40</v>
      </c>
      <c r="C43" s="2">
        <v>40</v>
      </c>
      <c r="D43" s="2">
        <v>0</v>
      </c>
    </row>
    <row r="44" spans="1:19" x14ac:dyDescent="0.3">
      <c r="A44" s="19">
        <v>140802</v>
      </c>
      <c r="B44" s="2">
        <v>40</v>
      </c>
      <c r="C44" s="2">
        <v>40</v>
      </c>
      <c r="D44" s="2">
        <v>0</v>
      </c>
    </row>
    <row r="45" spans="1:19" x14ac:dyDescent="0.3">
      <c r="A45" s="19">
        <v>140801</v>
      </c>
      <c r="B45" s="2">
        <v>40</v>
      </c>
      <c r="C45" s="2">
        <v>0</v>
      </c>
      <c r="D45" s="2">
        <v>40</v>
      </c>
    </row>
    <row r="46" spans="1:19" x14ac:dyDescent="0.3">
      <c r="A46" s="19">
        <v>140798</v>
      </c>
      <c r="B46" s="2">
        <v>40</v>
      </c>
      <c r="C46" s="2">
        <v>40</v>
      </c>
      <c r="D46" s="2">
        <v>0</v>
      </c>
    </row>
    <row r="47" spans="1:19" x14ac:dyDescent="0.3">
      <c r="A47" s="19">
        <v>140793</v>
      </c>
      <c r="B47" s="2">
        <v>40</v>
      </c>
      <c r="C47" s="2">
        <v>0</v>
      </c>
      <c r="D47" s="2">
        <v>40</v>
      </c>
    </row>
    <row r="48" spans="1:19" x14ac:dyDescent="0.3">
      <c r="A48" s="19">
        <v>140757</v>
      </c>
      <c r="B48" s="2">
        <v>40</v>
      </c>
      <c r="C48" s="2">
        <v>0</v>
      </c>
      <c r="D48" s="2">
        <v>40</v>
      </c>
    </row>
    <row r="49" spans="1:4" x14ac:dyDescent="0.3">
      <c r="A49" s="19">
        <v>140753</v>
      </c>
      <c r="B49" s="2">
        <v>40</v>
      </c>
      <c r="C49" s="2">
        <v>40</v>
      </c>
      <c r="D49" s="2">
        <v>0</v>
      </c>
    </row>
    <row r="50" spans="1:4" x14ac:dyDescent="0.3">
      <c r="A50" s="19">
        <v>140740</v>
      </c>
      <c r="B50" s="2">
        <v>40</v>
      </c>
      <c r="C50" s="2">
        <v>40</v>
      </c>
      <c r="D50" s="2">
        <v>0</v>
      </c>
    </row>
    <row r="51" spans="1:4" x14ac:dyDescent="0.3">
      <c r="A51" s="19">
        <v>140713</v>
      </c>
      <c r="B51" s="2">
        <v>40</v>
      </c>
      <c r="C51" s="2">
        <v>0</v>
      </c>
      <c r="D51" s="2">
        <v>40</v>
      </c>
    </row>
    <row r="52" spans="1:4" x14ac:dyDescent="0.3">
      <c r="A52" s="19">
        <v>140688</v>
      </c>
      <c r="B52" s="2">
        <v>40</v>
      </c>
      <c r="C52" s="2">
        <v>0</v>
      </c>
      <c r="D52" s="2">
        <v>40</v>
      </c>
    </row>
    <row r="53" spans="1:4" x14ac:dyDescent="0.3">
      <c r="A53" s="19">
        <v>140644</v>
      </c>
      <c r="B53" s="2">
        <v>40</v>
      </c>
      <c r="C53" s="2">
        <v>0</v>
      </c>
      <c r="D53" s="2">
        <v>40</v>
      </c>
    </row>
    <row r="54" spans="1:4" x14ac:dyDescent="0.3">
      <c r="A54" s="19">
        <v>140638</v>
      </c>
      <c r="B54" s="2">
        <v>40</v>
      </c>
      <c r="C54" s="2">
        <v>0</v>
      </c>
      <c r="D54" s="2">
        <v>40</v>
      </c>
    </row>
    <row r="55" spans="1:4" x14ac:dyDescent="0.3">
      <c r="A55" s="19">
        <v>140518</v>
      </c>
      <c r="B55" s="2">
        <v>40</v>
      </c>
      <c r="C55" s="2">
        <v>40</v>
      </c>
      <c r="D55" s="2">
        <v>0</v>
      </c>
    </row>
    <row r="56" spans="1:4" x14ac:dyDescent="0.3">
      <c r="A56" s="19">
        <v>140501</v>
      </c>
      <c r="B56" s="2">
        <v>40</v>
      </c>
      <c r="C56" s="2">
        <v>40</v>
      </c>
      <c r="D56" s="2">
        <v>0</v>
      </c>
    </row>
    <row r="57" spans="1:4" x14ac:dyDescent="0.3">
      <c r="A57" s="19">
        <v>140497</v>
      </c>
      <c r="B57" s="2">
        <v>40</v>
      </c>
      <c r="C57" s="2">
        <v>40</v>
      </c>
      <c r="D57" s="2">
        <v>0</v>
      </c>
    </row>
    <row r="58" spans="1:4" x14ac:dyDescent="0.3">
      <c r="A58" s="19">
        <v>140438</v>
      </c>
      <c r="B58" s="2">
        <v>40</v>
      </c>
      <c r="C58" s="2">
        <v>0</v>
      </c>
      <c r="D58" s="2">
        <v>40</v>
      </c>
    </row>
    <row r="59" spans="1:4" x14ac:dyDescent="0.3">
      <c r="A59" s="19">
        <v>135610</v>
      </c>
      <c r="B59" s="2">
        <v>40</v>
      </c>
      <c r="C59" s="2">
        <v>40</v>
      </c>
      <c r="D59" s="2">
        <v>0</v>
      </c>
    </row>
    <row r="60" spans="1:4" x14ac:dyDescent="0.3">
      <c r="A60" s="19">
        <v>140844</v>
      </c>
      <c r="B60" s="2">
        <v>47.25</v>
      </c>
      <c r="C60" s="2">
        <v>47.25</v>
      </c>
      <c r="D60" s="2">
        <v>0</v>
      </c>
    </row>
    <row r="61" spans="1:4" x14ac:dyDescent="0.3">
      <c r="A61" s="19">
        <v>140029</v>
      </c>
      <c r="B61" s="2">
        <v>47.25</v>
      </c>
      <c r="C61" s="2">
        <v>47.25</v>
      </c>
      <c r="D61" s="2">
        <v>0</v>
      </c>
    </row>
    <row r="62" spans="1:4" x14ac:dyDescent="0.3">
      <c r="A62" s="19">
        <v>141083</v>
      </c>
      <c r="B62" s="2">
        <v>50</v>
      </c>
      <c r="C62" s="2">
        <v>50</v>
      </c>
      <c r="D62" s="2">
        <v>0</v>
      </c>
    </row>
    <row r="63" spans="1:4" x14ac:dyDescent="0.3">
      <c r="A63" s="19">
        <v>141010</v>
      </c>
      <c r="B63" s="2">
        <v>50</v>
      </c>
      <c r="C63" s="2">
        <v>0</v>
      </c>
      <c r="D63" s="2">
        <v>50</v>
      </c>
    </row>
    <row r="64" spans="1:4" x14ac:dyDescent="0.3">
      <c r="A64" s="19">
        <v>140936</v>
      </c>
      <c r="B64" s="2">
        <v>50</v>
      </c>
      <c r="C64" s="2">
        <v>50</v>
      </c>
      <c r="D64" s="2">
        <v>0</v>
      </c>
    </row>
    <row r="65" spans="1:4" x14ac:dyDescent="0.3">
      <c r="A65" s="19">
        <v>140862</v>
      </c>
      <c r="B65" s="2">
        <v>50</v>
      </c>
      <c r="C65" s="2">
        <v>50</v>
      </c>
      <c r="D65" s="2">
        <v>0</v>
      </c>
    </row>
    <row r="66" spans="1:4" x14ac:dyDescent="0.3">
      <c r="A66" s="19">
        <v>140855</v>
      </c>
      <c r="B66" s="2">
        <v>50</v>
      </c>
      <c r="C66" s="2">
        <v>0</v>
      </c>
      <c r="D66" s="2">
        <v>50</v>
      </c>
    </row>
    <row r="67" spans="1:4" x14ac:dyDescent="0.3">
      <c r="A67" s="19">
        <v>140854</v>
      </c>
      <c r="B67" s="2">
        <v>50</v>
      </c>
      <c r="C67" s="2">
        <v>50</v>
      </c>
      <c r="D67" s="2">
        <v>0</v>
      </c>
    </row>
    <row r="68" spans="1:4" x14ac:dyDescent="0.3">
      <c r="A68" s="19">
        <v>140850</v>
      </c>
      <c r="B68" s="2">
        <v>50</v>
      </c>
      <c r="C68" s="2">
        <v>50</v>
      </c>
      <c r="D68" s="2">
        <v>0</v>
      </c>
    </row>
    <row r="69" spans="1:4" x14ac:dyDescent="0.3">
      <c r="A69" s="19">
        <v>140839</v>
      </c>
      <c r="B69" s="2">
        <v>50</v>
      </c>
      <c r="C69" s="2">
        <v>0</v>
      </c>
      <c r="D69" s="2">
        <v>50</v>
      </c>
    </row>
    <row r="70" spans="1:4" x14ac:dyDescent="0.3">
      <c r="A70" s="19">
        <v>140835</v>
      </c>
      <c r="B70" s="2">
        <v>50</v>
      </c>
      <c r="C70" s="2">
        <v>50</v>
      </c>
      <c r="D70" s="2">
        <v>0</v>
      </c>
    </row>
    <row r="71" spans="1:4" x14ac:dyDescent="0.3">
      <c r="A71" s="19">
        <v>140829</v>
      </c>
      <c r="B71" s="2">
        <v>50</v>
      </c>
      <c r="C71" s="2">
        <v>0</v>
      </c>
      <c r="D71" s="2">
        <v>50</v>
      </c>
    </row>
    <row r="72" spans="1:4" x14ac:dyDescent="0.3">
      <c r="A72" s="19">
        <v>140787</v>
      </c>
      <c r="B72" s="2">
        <v>50</v>
      </c>
      <c r="C72" s="2">
        <v>0</v>
      </c>
      <c r="D72" s="2">
        <v>50</v>
      </c>
    </row>
    <row r="73" spans="1:4" x14ac:dyDescent="0.3">
      <c r="A73" s="19">
        <v>140719</v>
      </c>
      <c r="B73" s="2">
        <v>50</v>
      </c>
      <c r="C73" s="2">
        <v>0</v>
      </c>
      <c r="D73" s="2">
        <v>50</v>
      </c>
    </row>
    <row r="74" spans="1:4" x14ac:dyDescent="0.3">
      <c r="A74" s="19">
        <v>140716</v>
      </c>
      <c r="B74" s="2">
        <v>50</v>
      </c>
      <c r="C74" s="2">
        <v>50</v>
      </c>
      <c r="D74" s="2">
        <v>0</v>
      </c>
    </row>
    <row r="75" spans="1:4" x14ac:dyDescent="0.3">
      <c r="A75" s="19">
        <v>140677</v>
      </c>
      <c r="B75" s="2">
        <v>50</v>
      </c>
      <c r="C75" s="2">
        <v>0</v>
      </c>
      <c r="D75" s="2">
        <v>50</v>
      </c>
    </row>
    <row r="76" spans="1:4" x14ac:dyDescent="0.3">
      <c r="A76" s="19">
        <v>140672</v>
      </c>
      <c r="B76" s="2">
        <v>50</v>
      </c>
      <c r="C76" s="2">
        <v>0</v>
      </c>
      <c r="D76" s="2">
        <v>50</v>
      </c>
    </row>
    <row r="77" spans="1:4" x14ac:dyDescent="0.3">
      <c r="A77" s="19">
        <v>140670</v>
      </c>
      <c r="B77" s="2">
        <v>50</v>
      </c>
      <c r="C77" s="2">
        <v>0</v>
      </c>
      <c r="D77" s="2">
        <v>50</v>
      </c>
    </row>
    <row r="78" spans="1:4" x14ac:dyDescent="0.3">
      <c r="A78" s="19">
        <v>140238</v>
      </c>
      <c r="B78" s="2">
        <v>50</v>
      </c>
      <c r="C78" s="2">
        <v>0</v>
      </c>
      <c r="D78" s="2">
        <v>50</v>
      </c>
    </row>
    <row r="79" spans="1:4" x14ac:dyDescent="0.3">
      <c r="A79" s="19">
        <v>141018</v>
      </c>
      <c r="B79" s="2">
        <v>60</v>
      </c>
      <c r="C79" s="2">
        <v>60</v>
      </c>
      <c r="D79" s="2">
        <v>0</v>
      </c>
    </row>
    <row r="80" spans="1:4" x14ac:dyDescent="0.3">
      <c r="A80" s="19">
        <v>141012</v>
      </c>
      <c r="B80" s="2">
        <v>60</v>
      </c>
      <c r="C80" s="2">
        <v>0</v>
      </c>
      <c r="D80" s="2">
        <v>60</v>
      </c>
    </row>
    <row r="81" spans="1:4" x14ac:dyDescent="0.3">
      <c r="A81" s="19">
        <v>140962</v>
      </c>
      <c r="B81" s="2">
        <v>60</v>
      </c>
      <c r="C81" s="2">
        <v>60</v>
      </c>
      <c r="D81" s="2">
        <v>0</v>
      </c>
    </row>
    <row r="82" spans="1:4" x14ac:dyDescent="0.3">
      <c r="A82" s="19">
        <v>140904</v>
      </c>
      <c r="B82" s="2">
        <v>60</v>
      </c>
      <c r="C82" s="2">
        <v>0</v>
      </c>
      <c r="D82" s="2">
        <v>60</v>
      </c>
    </row>
    <row r="83" spans="1:4" x14ac:dyDescent="0.3">
      <c r="A83" s="19">
        <v>140899</v>
      </c>
      <c r="B83" s="2">
        <v>60</v>
      </c>
      <c r="C83" s="2">
        <v>0</v>
      </c>
      <c r="D83" s="2">
        <v>60</v>
      </c>
    </row>
    <row r="84" spans="1:4" x14ac:dyDescent="0.3">
      <c r="A84" s="19">
        <v>140890</v>
      </c>
      <c r="B84" s="2">
        <v>60</v>
      </c>
      <c r="C84" s="2">
        <v>60</v>
      </c>
      <c r="D84" s="2">
        <v>0</v>
      </c>
    </row>
    <row r="85" spans="1:4" x14ac:dyDescent="0.3">
      <c r="A85" s="19">
        <v>140867</v>
      </c>
      <c r="B85" s="2">
        <v>60</v>
      </c>
      <c r="C85" s="2">
        <v>0</v>
      </c>
      <c r="D85" s="2">
        <v>60</v>
      </c>
    </row>
    <row r="86" spans="1:4" x14ac:dyDescent="0.3">
      <c r="A86" s="19">
        <v>140848</v>
      </c>
      <c r="B86" s="2">
        <v>60</v>
      </c>
      <c r="C86" s="2">
        <v>0</v>
      </c>
      <c r="D86" s="2">
        <v>60</v>
      </c>
    </row>
    <row r="87" spans="1:4" x14ac:dyDescent="0.3">
      <c r="A87" s="19">
        <v>140803</v>
      </c>
      <c r="B87" s="2">
        <v>60</v>
      </c>
      <c r="C87" s="2">
        <v>60</v>
      </c>
      <c r="D87" s="2">
        <v>0</v>
      </c>
    </row>
    <row r="88" spans="1:4" x14ac:dyDescent="0.3">
      <c r="A88" s="19">
        <v>140760</v>
      </c>
      <c r="B88" s="2">
        <v>60</v>
      </c>
      <c r="C88" s="2">
        <v>0</v>
      </c>
      <c r="D88" s="2">
        <v>60</v>
      </c>
    </row>
    <row r="89" spans="1:4" x14ac:dyDescent="0.3">
      <c r="A89" s="19">
        <v>140743</v>
      </c>
      <c r="B89" s="2">
        <v>60</v>
      </c>
      <c r="C89" s="2">
        <v>0</v>
      </c>
      <c r="D89" s="2">
        <v>60</v>
      </c>
    </row>
    <row r="90" spans="1:4" x14ac:dyDescent="0.3">
      <c r="A90" s="19">
        <v>140671</v>
      </c>
      <c r="B90" s="2">
        <v>60</v>
      </c>
      <c r="C90" s="2">
        <v>0</v>
      </c>
      <c r="D90" s="2">
        <v>60</v>
      </c>
    </row>
    <row r="91" spans="1:4" x14ac:dyDescent="0.3">
      <c r="A91" s="19">
        <v>140667</v>
      </c>
      <c r="B91" s="2">
        <v>60</v>
      </c>
      <c r="C91" s="2">
        <v>60</v>
      </c>
      <c r="D91" s="2">
        <v>0</v>
      </c>
    </row>
    <row r="92" spans="1:4" x14ac:dyDescent="0.3">
      <c r="A92" s="19">
        <v>140632</v>
      </c>
      <c r="B92" s="2">
        <v>60</v>
      </c>
      <c r="C92" s="2">
        <v>60</v>
      </c>
      <c r="D92" s="2">
        <v>0</v>
      </c>
    </row>
    <row r="93" spans="1:4" x14ac:dyDescent="0.3">
      <c r="A93" s="19">
        <v>140627</v>
      </c>
      <c r="B93" s="2">
        <v>60</v>
      </c>
      <c r="C93" s="2">
        <v>60</v>
      </c>
      <c r="D93" s="2">
        <v>0</v>
      </c>
    </row>
    <row r="94" spans="1:4" x14ac:dyDescent="0.3">
      <c r="A94" s="19">
        <v>140576</v>
      </c>
      <c r="B94" s="2">
        <v>60</v>
      </c>
      <c r="C94" s="2">
        <v>0</v>
      </c>
      <c r="D94" s="2">
        <v>60</v>
      </c>
    </row>
    <row r="95" spans="1:4" x14ac:dyDescent="0.3">
      <c r="A95" s="19">
        <v>140527</v>
      </c>
      <c r="B95" s="2">
        <v>60</v>
      </c>
      <c r="C95" s="2">
        <v>0</v>
      </c>
      <c r="D95" s="2">
        <v>60</v>
      </c>
    </row>
    <row r="96" spans="1:4" x14ac:dyDescent="0.3">
      <c r="A96" s="19">
        <v>140464</v>
      </c>
      <c r="B96" s="2">
        <v>60</v>
      </c>
      <c r="C96" s="2">
        <v>0</v>
      </c>
      <c r="D96" s="2">
        <v>60</v>
      </c>
    </row>
    <row r="97" spans="1:4" x14ac:dyDescent="0.3">
      <c r="A97" s="19">
        <v>140442</v>
      </c>
      <c r="B97" s="2">
        <v>60</v>
      </c>
      <c r="C97" s="2">
        <v>0</v>
      </c>
      <c r="D97" s="2">
        <v>60</v>
      </c>
    </row>
    <row r="98" spans="1:4" x14ac:dyDescent="0.3">
      <c r="A98" s="19">
        <v>140368</v>
      </c>
      <c r="B98" s="2">
        <v>60</v>
      </c>
      <c r="C98" s="2">
        <v>0</v>
      </c>
      <c r="D98" s="2">
        <v>60</v>
      </c>
    </row>
    <row r="99" spans="1:4" x14ac:dyDescent="0.3">
      <c r="A99" s="19">
        <v>139877</v>
      </c>
      <c r="B99" s="2">
        <v>60</v>
      </c>
      <c r="C99" s="2">
        <v>0</v>
      </c>
      <c r="D99" s="2">
        <v>60</v>
      </c>
    </row>
    <row r="100" spans="1:4" x14ac:dyDescent="0.3">
      <c r="A100" s="19">
        <v>140750</v>
      </c>
      <c r="B100" s="2">
        <v>63</v>
      </c>
      <c r="C100" s="2">
        <v>63</v>
      </c>
      <c r="D100" s="2">
        <v>0</v>
      </c>
    </row>
    <row r="101" spans="1:4" x14ac:dyDescent="0.3">
      <c r="A101" s="19">
        <v>86980</v>
      </c>
      <c r="B101" s="2">
        <v>63</v>
      </c>
      <c r="C101" s="2">
        <v>0</v>
      </c>
      <c r="D101" s="2">
        <v>63</v>
      </c>
    </row>
    <row r="102" spans="1:4" x14ac:dyDescent="0.3">
      <c r="A102" s="19">
        <v>141009</v>
      </c>
      <c r="B102" s="2">
        <v>70</v>
      </c>
      <c r="C102" s="2">
        <v>0</v>
      </c>
      <c r="D102" s="2">
        <v>70</v>
      </c>
    </row>
    <row r="103" spans="1:4" x14ac:dyDescent="0.3">
      <c r="A103" s="19">
        <v>140906</v>
      </c>
      <c r="B103" s="2">
        <v>70</v>
      </c>
      <c r="C103" s="2">
        <v>0</v>
      </c>
      <c r="D103" s="2">
        <v>70</v>
      </c>
    </row>
    <row r="104" spans="1:4" x14ac:dyDescent="0.3">
      <c r="A104" s="19">
        <v>140845</v>
      </c>
      <c r="B104" s="2">
        <v>70</v>
      </c>
      <c r="C104" s="2">
        <v>70</v>
      </c>
      <c r="D104" s="2">
        <v>0</v>
      </c>
    </row>
    <row r="105" spans="1:4" x14ac:dyDescent="0.3">
      <c r="A105" s="19">
        <v>140799</v>
      </c>
      <c r="B105" s="2">
        <v>70</v>
      </c>
      <c r="C105" s="2">
        <v>70</v>
      </c>
      <c r="D105" s="2">
        <v>0</v>
      </c>
    </row>
    <row r="106" spans="1:4" x14ac:dyDescent="0.3">
      <c r="A106" s="19">
        <v>140794</v>
      </c>
      <c r="B106" s="2">
        <v>70</v>
      </c>
      <c r="C106" s="2">
        <v>70</v>
      </c>
      <c r="D106" s="2">
        <v>0</v>
      </c>
    </row>
    <row r="107" spans="1:4" x14ac:dyDescent="0.3">
      <c r="A107" s="19">
        <v>140754</v>
      </c>
      <c r="B107" s="2">
        <v>70</v>
      </c>
      <c r="C107" s="2">
        <v>0</v>
      </c>
      <c r="D107" s="2">
        <v>70</v>
      </c>
    </row>
    <row r="108" spans="1:4" x14ac:dyDescent="0.3">
      <c r="A108" s="19">
        <v>140737</v>
      </c>
      <c r="B108" s="2">
        <v>70</v>
      </c>
      <c r="C108" s="2">
        <v>70</v>
      </c>
      <c r="D108" s="2">
        <v>0</v>
      </c>
    </row>
    <row r="109" spans="1:4" x14ac:dyDescent="0.3">
      <c r="A109" s="19">
        <v>140720</v>
      </c>
      <c r="B109" s="2">
        <v>70</v>
      </c>
      <c r="C109" s="2">
        <v>0</v>
      </c>
      <c r="D109" s="2">
        <v>70</v>
      </c>
    </row>
    <row r="110" spans="1:4" x14ac:dyDescent="0.3">
      <c r="A110" s="19">
        <v>140676</v>
      </c>
      <c r="B110" s="2">
        <v>70</v>
      </c>
      <c r="C110" s="2">
        <v>0</v>
      </c>
      <c r="D110" s="2">
        <v>70</v>
      </c>
    </row>
    <row r="111" spans="1:4" x14ac:dyDescent="0.3">
      <c r="A111" s="19">
        <v>140659</v>
      </c>
      <c r="B111" s="2">
        <v>70</v>
      </c>
      <c r="C111" s="2">
        <v>0</v>
      </c>
      <c r="D111" s="2">
        <v>70</v>
      </c>
    </row>
    <row r="112" spans="1:4" x14ac:dyDescent="0.3">
      <c r="A112" s="19">
        <v>140636</v>
      </c>
      <c r="B112" s="2">
        <v>70</v>
      </c>
      <c r="C112" s="2">
        <v>70</v>
      </c>
      <c r="D112" s="2">
        <v>0</v>
      </c>
    </row>
    <row r="113" spans="1:4" x14ac:dyDescent="0.3">
      <c r="A113" s="19">
        <v>140634</v>
      </c>
      <c r="B113" s="2">
        <v>70</v>
      </c>
      <c r="C113" s="2">
        <v>0</v>
      </c>
      <c r="D113" s="2">
        <v>70</v>
      </c>
    </row>
    <row r="114" spans="1:4" x14ac:dyDescent="0.3">
      <c r="A114" s="19">
        <v>140554</v>
      </c>
      <c r="B114" s="2">
        <v>70</v>
      </c>
      <c r="C114" s="2">
        <v>0</v>
      </c>
      <c r="D114" s="2">
        <v>70</v>
      </c>
    </row>
    <row r="115" spans="1:4" x14ac:dyDescent="0.3">
      <c r="A115" s="19">
        <v>140373</v>
      </c>
      <c r="B115" s="2">
        <v>70</v>
      </c>
      <c r="C115" s="2">
        <v>0</v>
      </c>
      <c r="D115" s="2">
        <v>70</v>
      </c>
    </row>
    <row r="116" spans="1:4" x14ac:dyDescent="0.3">
      <c r="A116" s="19">
        <v>140331</v>
      </c>
      <c r="B116" s="2">
        <v>70</v>
      </c>
      <c r="C116" s="2">
        <v>0</v>
      </c>
      <c r="D116" s="2">
        <v>70</v>
      </c>
    </row>
    <row r="117" spans="1:4" x14ac:dyDescent="0.3">
      <c r="A117" s="19">
        <v>140182</v>
      </c>
      <c r="B117" s="2">
        <v>70</v>
      </c>
      <c r="C117" s="2">
        <v>0</v>
      </c>
      <c r="D117" s="2">
        <v>70</v>
      </c>
    </row>
    <row r="118" spans="1:4" x14ac:dyDescent="0.3">
      <c r="A118" s="19">
        <v>140162</v>
      </c>
      <c r="B118" s="2">
        <v>70</v>
      </c>
      <c r="C118" s="2">
        <v>0</v>
      </c>
      <c r="D118" s="2">
        <v>70</v>
      </c>
    </row>
    <row r="119" spans="1:4" x14ac:dyDescent="0.3">
      <c r="A119" s="19">
        <v>140112</v>
      </c>
      <c r="B119" s="2">
        <v>70</v>
      </c>
      <c r="C119" s="2">
        <v>0</v>
      </c>
      <c r="D119" s="2">
        <v>70</v>
      </c>
    </row>
    <row r="120" spans="1:4" x14ac:dyDescent="0.3">
      <c r="A120" s="19">
        <v>140919</v>
      </c>
      <c r="B120" s="2">
        <v>70.88</v>
      </c>
      <c r="C120" s="2">
        <v>70.88</v>
      </c>
      <c r="D120" s="2">
        <v>0</v>
      </c>
    </row>
    <row r="121" spans="1:4" x14ac:dyDescent="0.3">
      <c r="A121" s="19">
        <v>140028</v>
      </c>
      <c r="B121" s="2">
        <v>71.5</v>
      </c>
      <c r="C121" s="2">
        <v>0</v>
      </c>
      <c r="D121" s="2">
        <v>71.5</v>
      </c>
    </row>
    <row r="122" spans="1:4" x14ac:dyDescent="0.3">
      <c r="A122" s="19">
        <v>140934</v>
      </c>
      <c r="B122" s="2">
        <v>73</v>
      </c>
      <c r="C122" s="2">
        <v>73</v>
      </c>
      <c r="D122" s="2">
        <v>0</v>
      </c>
    </row>
    <row r="123" spans="1:4" x14ac:dyDescent="0.3">
      <c r="A123" s="19">
        <v>141030</v>
      </c>
      <c r="B123" s="2">
        <v>80</v>
      </c>
      <c r="C123" s="2">
        <v>0</v>
      </c>
      <c r="D123" s="2">
        <v>80</v>
      </c>
    </row>
    <row r="124" spans="1:4" x14ac:dyDescent="0.3">
      <c r="A124" s="19">
        <v>140994</v>
      </c>
      <c r="B124" s="2">
        <v>80</v>
      </c>
      <c r="C124" s="2">
        <v>0</v>
      </c>
      <c r="D124" s="2">
        <v>80</v>
      </c>
    </row>
    <row r="125" spans="1:4" x14ac:dyDescent="0.3">
      <c r="A125" s="19">
        <v>140950</v>
      </c>
      <c r="B125" s="2">
        <v>80</v>
      </c>
      <c r="C125" s="2">
        <v>0</v>
      </c>
      <c r="D125" s="2">
        <v>80</v>
      </c>
    </row>
    <row r="126" spans="1:4" x14ac:dyDescent="0.3">
      <c r="A126" s="19">
        <v>140946</v>
      </c>
      <c r="B126" s="2">
        <v>80</v>
      </c>
      <c r="C126" s="2">
        <v>0</v>
      </c>
      <c r="D126" s="2">
        <v>80</v>
      </c>
    </row>
    <row r="127" spans="1:4" x14ac:dyDescent="0.3">
      <c r="A127" s="19">
        <v>140943</v>
      </c>
      <c r="B127" s="2">
        <v>80</v>
      </c>
      <c r="C127" s="2">
        <v>0</v>
      </c>
      <c r="D127" s="2">
        <v>80</v>
      </c>
    </row>
    <row r="128" spans="1:4" x14ac:dyDescent="0.3">
      <c r="A128" s="19">
        <v>140939</v>
      </c>
      <c r="B128" s="2">
        <v>80</v>
      </c>
      <c r="C128" s="2">
        <v>0</v>
      </c>
      <c r="D128" s="2">
        <v>80</v>
      </c>
    </row>
    <row r="129" spans="1:4" x14ac:dyDescent="0.3">
      <c r="A129" s="19">
        <v>140911</v>
      </c>
      <c r="B129" s="2">
        <v>80</v>
      </c>
      <c r="C129" s="2">
        <v>0</v>
      </c>
      <c r="D129" s="2">
        <v>80</v>
      </c>
    </row>
    <row r="130" spans="1:4" x14ac:dyDescent="0.3">
      <c r="A130" s="19">
        <v>140860</v>
      </c>
      <c r="B130" s="2">
        <v>80</v>
      </c>
      <c r="C130" s="2">
        <v>0</v>
      </c>
      <c r="D130" s="2">
        <v>80</v>
      </c>
    </row>
    <row r="131" spans="1:4" x14ac:dyDescent="0.3">
      <c r="A131" s="19">
        <v>140806</v>
      </c>
      <c r="B131" s="2">
        <v>80</v>
      </c>
      <c r="C131" s="2">
        <v>80</v>
      </c>
      <c r="D131" s="2">
        <v>0</v>
      </c>
    </row>
    <row r="132" spans="1:4" x14ac:dyDescent="0.3">
      <c r="A132" s="19">
        <v>140708</v>
      </c>
      <c r="B132" s="2">
        <v>80</v>
      </c>
      <c r="C132" s="2">
        <v>0</v>
      </c>
      <c r="D132" s="2">
        <v>80</v>
      </c>
    </row>
    <row r="133" spans="1:4" x14ac:dyDescent="0.3">
      <c r="A133" s="19">
        <v>140665</v>
      </c>
      <c r="B133" s="2">
        <v>80</v>
      </c>
      <c r="C133" s="2">
        <v>0</v>
      </c>
      <c r="D133" s="2">
        <v>80</v>
      </c>
    </row>
    <row r="134" spans="1:4" x14ac:dyDescent="0.3">
      <c r="A134" s="19">
        <v>140662</v>
      </c>
      <c r="B134" s="2">
        <v>80</v>
      </c>
      <c r="C134" s="2">
        <v>0</v>
      </c>
      <c r="D134" s="2">
        <v>80</v>
      </c>
    </row>
    <row r="135" spans="1:4" x14ac:dyDescent="0.3">
      <c r="A135" s="19">
        <v>140559</v>
      </c>
      <c r="B135" s="2">
        <v>80</v>
      </c>
      <c r="C135" s="2">
        <v>60</v>
      </c>
      <c r="D135" s="2">
        <v>20</v>
      </c>
    </row>
    <row r="136" spans="1:4" x14ac:dyDescent="0.3">
      <c r="A136" s="19">
        <v>140522</v>
      </c>
      <c r="B136" s="2">
        <v>80</v>
      </c>
      <c r="C136" s="2">
        <v>0</v>
      </c>
      <c r="D136" s="2">
        <v>80</v>
      </c>
    </row>
    <row r="137" spans="1:4" x14ac:dyDescent="0.3">
      <c r="A137" s="19">
        <v>140521</v>
      </c>
      <c r="B137" s="2">
        <v>80</v>
      </c>
      <c r="C137" s="2">
        <v>0</v>
      </c>
      <c r="D137" s="2">
        <v>80</v>
      </c>
    </row>
    <row r="138" spans="1:4" x14ac:dyDescent="0.3">
      <c r="A138" s="19">
        <v>140462</v>
      </c>
      <c r="B138" s="2">
        <v>80</v>
      </c>
      <c r="C138" s="2">
        <v>0</v>
      </c>
      <c r="D138" s="2">
        <v>80</v>
      </c>
    </row>
    <row r="139" spans="1:4" x14ac:dyDescent="0.3">
      <c r="A139" s="19">
        <v>140263</v>
      </c>
      <c r="B139" s="2">
        <v>80</v>
      </c>
      <c r="C139" s="2">
        <v>80</v>
      </c>
      <c r="D139" s="2">
        <v>0</v>
      </c>
    </row>
    <row r="140" spans="1:4" x14ac:dyDescent="0.3">
      <c r="A140" s="19">
        <v>140203</v>
      </c>
      <c r="B140" s="2">
        <v>80</v>
      </c>
      <c r="C140" s="2">
        <v>80</v>
      </c>
      <c r="D140" s="2">
        <v>0</v>
      </c>
    </row>
    <row r="141" spans="1:4" x14ac:dyDescent="0.3">
      <c r="A141" s="19">
        <v>140104</v>
      </c>
      <c r="B141" s="2">
        <v>80</v>
      </c>
      <c r="C141" s="2">
        <v>0</v>
      </c>
      <c r="D141" s="2">
        <v>80</v>
      </c>
    </row>
    <row r="142" spans="1:4" x14ac:dyDescent="0.3">
      <c r="A142" s="19">
        <v>140103</v>
      </c>
      <c r="B142" s="2">
        <v>80</v>
      </c>
      <c r="C142" s="2">
        <v>0</v>
      </c>
      <c r="D142" s="2">
        <v>80</v>
      </c>
    </row>
    <row r="143" spans="1:4" x14ac:dyDescent="0.3">
      <c r="A143" s="19">
        <v>140942</v>
      </c>
      <c r="B143" s="2">
        <v>83.62</v>
      </c>
      <c r="C143" s="2">
        <v>83.62</v>
      </c>
      <c r="D143" s="2">
        <v>0</v>
      </c>
    </row>
    <row r="144" spans="1:4" x14ac:dyDescent="0.3">
      <c r="A144" s="19">
        <v>141105</v>
      </c>
      <c r="B144" s="2">
        <v>86.62</v>
      </c>
      <c r="C144" s="2">
        <v>86.62</v>
      </c>
      <c r="D144" s="2">
        <v>0</v>
      </c>
    </row>
    <row r="145" spans="1:4" x14ac:dyDescent="0.3">
      <c r="A145" s="19">
        <v>140909</v>
      </c>
      <c r="B145" s="2">
        <v>90</v>
      </c>
      <c r="C145" s="2">
        <v>0</v>
      </c>
      <c r="D145" s="2">
        <v>90</v>
      </c>
    </row>
    <row r="146" spans="1:4" x14ac:dyDescent="0.3">
      <c r="A146" s="19">
        <v>140759</v>
      </c>
      <c r="B146" s="2">
        <v>90</v>
      </c>
      <c r="C146" s="2">
        <v>0</v>
      </c>
      <c r="D146" s="2">
        <v>90</v>
      </c>
    </row>
    <row r="147" spans="1:4" x14ac:dyDescent="0.3">
      <c r="A147" s="19">
        <v>140606</v>
      </c>
      <c r="B147" s="2">
        <v>90</v>
      </c>
      <c r="C147" s="2">
        <v>0</v>
      </c>
      <c r="D147" s="2">
        <v>90</v>
      </c>
    </row>
    <row r="148" spans="1:4" x14ac:dyDescent="0.3">
      <c r="A148" s="19">
        <v>140578</v>
      </c>
      <c r="B148" s="2">
        <v>90</v>
      </c>
      <c r="C148" s="2">
        <v>0</v>
      </c>
      <c r="D148" s="2">
        <v>90</v>
      </c>
    </row>
    <row r="149" spans="1:4" x14ac:dyDescent="0.3">
      <c r="A149" s="19">
        <v>140561</v>
      </c>
      <c r="B149" s="2">
        <v>90</v>
      </c>
      <c r="C149" s="2">
        <v>0</v>
      </c>
      <c r="D149" s="2">
        <v>90</v>
      </c>
    </row>
    <row r="150" spans="1:4" x14ac:dyDescent="0.3">
      <c r="A150" s="19">
        <v>140539</v>
      </c>
      <c r="B150" s="2">
        <v>90</v>
      </c>
      <c r="C150" s="2">
        <v>0</v>
      </c>
      <c r="D150" s="2">
        <v>90</v>
      </c>
    </row>
    <row r="151" spans="1:4" x14ac:dyDescent="0.3">
      <c r="A151" s="19">
        <v>140463</v>
      </c>
      <c r="B151" s="2">
        <v>90</v>
      </c>
      <c r="C151" s="2">
        <v>0</v>
      </c>
      <c r="D151" s="2">
        <v>90</v>
      </c>
    </row>
    <row r="152" spans="1:4" x14ac:dyDescent="0.3">
      <c r="A152" s="19">
        <v>140448</v>
      </c>
      <c r="B152" s="2">
        <v>90</v>
      </c>
      <c r="C152" s="2">
        <v>0</v>
      </c>
      <c r="D152" s="2">
        <v>90</v>
      </c>
    </row>
    <row r="153" spans="1:4" x14ac:dyDescent="0.3">
      <c r="A153" s="19">
        <v>140216</v>
      </c>
      <c r="B153" s="2">
        <v>90</v>
      </c>
      <c r="C153" s="2">
        <v>90</v>
      </c>
      <c r="D153" s="2">
        <v>0</v>
      </c>
    </row>
    <row r="154" spans="1:4" x14ac:dyDescent="0.3">
      <c r="A154" s="19">
        <v>140032</v>
      </c>
      <c r="B154" s="2">
        <v>91.5</v>
      </c>
      <c r="C154" s="2">
        <v>0</v>
      </c>
      <c r="D154" s="2">
        <v>91.5</v>
      </c>
    </row>
    <row r="155" spans="1:4" x14ac:dyDescent="0.3">
      <c r="A155" s="19">
        <v>140015</v>
      </c>
      <c r="B155" s="2">
        <v>91.5</v>
      </c>
      <c r="C155" s="2">
        <v>0</v>
      </c>
      <c r="D155" s="2">
        <v>91.5</v>
      </c>
    </row>
    <row r="156" spans="1:4" x14ac:dyDescent="0.3">
      <c r="A156" s="19">
        <v>140732</v>
      </c>
      <c r="B156" s="2">
        <v>94.5</v>
      </c>
      <c r="C156" s="2">
        <v>0</v>
      </c>
      <c r="D156" s="2">
        <v>94.5</v>
      </c>
    </row>
    <row r="157" spans="1:4" x14ac:dyDescent="0.3">
      <c r="A157" s="19">
        <v>140403</v>
      </c>
      <c r="B157" s="2">
        <v>94.5</v>
      </c>
      <c r="C157" s="2">
        <v>94.5</v>
      </c>
      <c r="D157" s="2">
        <v>0</v>
      </c>
    </row>
    <row r="158" spans="1:4" x14ac:dyDescent="0.3">
      <c r="A158" s="19">
        <v>141079</v>
      </c>
      <c r="B158" s="2">
        <v>100</v>
      </c>
      <c r="C158" s="2">
        <v>100</v>
      </c>
      <c r="D158" s="2">
        <v>0</v>
      </c>
    </row>
    <row r="159" spans="1:4" x14ac:dyDescent="0.3">
      <c r="A159" s="19">
        <v>140910</v>
      </c>
      <c r="B159" s="2">
        <v>100</v>
      </c>
      <c r="C159" s="2">
        <v>100</v>
      </c>
      <c r="D159" s="2">
        <v>0</v>
      </c>
    </row>
    <row r="160" spans="1:4" x14ac:dyDescent="0.3">
      <c r="A160" s="19">
        <v>140820</v>
      </c>
      <c r="B160" s="2">
        <v>100</v>
      </c>
      <c r="C160" s="2">
        <v>0</v>
      </c>
      <c r="D160" s="2">
        <v>100</v>
      </c>
    </row>
    <row r="161" spans="1:4" x14ac:dyDescent="0.3">
      <c r="A161" s="19">
        <v>140717</v>
      </c>
      <c r="B161" s="2">
        <v>100</v>
      </c>
      <c r="C161" s="2">
        <v>0</v>
      </c>
      <c r="D161" s="2">
        <v>100</v>
      </c>
    </row>
    <row r="162" spans="1:4" x14ac:dyDescent="0.3">
      <c r="A162" s="19">
        <v>140699</v>
      </c>
      <c r="B162" s="2">
        <v>100</v>
      </c>
      <c r="C162" s="2">
        <v>100</v>
      </c>
      <c r="D162" s="2">
        <v>0</v>
      </c>
    </row>
    <row r="163" spans="1:4" x14ac:dyDescent="0.3">
      <c r="A163" s="19">
        <v>140543</v>
      </c>
      <c r="B163" s="2">
        <v>100</v>
      </c>
      <c r="C163" s="2">
        <v>0</v>
      </c>
      <c r="D163" s="2">
        <v>100</v>
      </c>
    </row>
    <row r="164" spans="1:4" x14ac:dyDescent="0.3">
      <c r="A164" s="19">
        <v>140500</v>
      </c>
      <c r="B164" s="2">
        <v>100</v>
      </c>
      <c r="C164" s="2">
        <v>0</v>
      </c>
      <c r="D164" s="2">
        <v>100</v>
      </c>
    </row>
    <row r="165" spans="1:4" x14ac:dyDescent="0.3">
      <c r="A165" s="19">
        <v>140429</v>
      </c>
      <c r="B165" s="2">
        <v>101.5</v>
      </c>
      <c r="C165" s="2">
        <v>0</v>
      </c>
      <c r="D165" s="2">
        <v>101.5</v>
      </c>
    </row>
    <row r="166" spans="1:4" x14ac:dyDescent="0.3">
      <c r="A166" s="19">
        <v>140138</v>
      </c>
      <c r="B166" s="2">
        <v>108.75</v>
      </c>
      <c r="C166" s="2">
        <v>0</v>
      </c>
      <c r="D166" s="2">
        <v>108.75</v>
      </c>
    </row>
    <row r="167" spans="1:4" x14ac:dyDescent="0.3">
      <c r="A167" s="19">
        <v>141055</v>
      </c>
      <c r="B167" s="2">
        <v>110</v>
      </c>
      <c r="C167" s="2">
        <v>110</v>
      </c>
      <c r="D167" s="2">
        <v>0</v>
      </c>
    </row>
    <row r="168" spans="1:4" x14ac:dyDescent="0.3">
      <c r="A168" s="19">
        <v>140901</v>
      </c>
      <c r="B168" s="2">
        <v>110</v>
      </c>
      <c r="C168" s="2">
        <v>0</v>
      </c>
      <c r="D168" s="2">
        <v>110</v>
      </c>
    </row>
    <row r="169" spans="1:4" x14ac:dyDescent="0.3">
      <c r="A169" s="19">
        <v>140738</v>
      </c>
      <c r="B169" s="2">
        <v>110</v>
      </c>
      <c r="C169" s="2">
        <v>110</v>
      </c>
      <c r="D169" s="2">
        <v>0</v>
      </c>
    </row>
    <row r="170" spans="1:4" x14ac:dyDescent="0.3">
      <c r="A170" s="19">
        <v>140682</v>
      </c>
      <c r="B170" s="2">
        <v>110</v>
      </c>
      <c r="C170" s="2">
        <v>110</v>
      </c>
      <c r="D170" s="2">
        <v>0</v>
      </c>
    </row>
    <row r="171" spans="1:4" x14ac:dyDescent="0.3">
      <c r="A171" s="19">
        <v>140660</v>
      </c>
      <c r="B171" s="2">
        <v>110</v>
      </c>
      <c r="C171" s="2">
        <v>0</v>
      </c>
      <c r="D171" s="2">
        <v>110</v>
      </c>
    </row>
    <row r="172" spans="1:4" x14ac:dyDescent="0.3">
      <c r="A172" s="19">
        <v>140631</v>
      </c>
      <c r="B172" s="2">
        <v>110</v>
      </c>
      <c r="C172" s="2">
        <v>0</v>
      </c>
      <c r="D172" s="2">
        <v>110</v>
      </c>
    </row>
    <row r="173" spans="1:4" x14ac:dyDescent="0.3">
      <c r="A173" s="19">
        <v>140599</v>
      </c>
      <c r="B173" s="2">
        <v>110</v>
      </c>
      <c r="C173" s="2">
        <v>0</v>
      </c>
      <c r="D173" s="2">
        <v>110</v>
      </c>
    </row>
    <row r="174" spans="1:4" x14ac:dyDescent="0.3">
      <c r="A174" s="19">
        <v>140528</v>
      </c>
      <c r="B174" s="2">
        <v>110</v>
      </c>
      <c r="C174" s="2">
        <v>0</v>
      </c>
      <c r="D174" s="2">
        <v>110</v>
      </c>
    </row>
    <row r="175" spans="1:4" x14ac:dyDescent="0.3">
      <c r="A175" s="19">
        <v>140519</v>
      </c>
      <c r="B175" s="2">
        <v>110</v>
      </c>
      <c r="C175" s="2">
        <v>110</v>
      </c>
      <c r="D175" s="2">
        <v>0</v>
      </c>
    </row>
    <row r="176" spans="1:4" x14ac:dyDescent="0.3">
      <c r="A176" s="19">
        <v>140948</v>
      </c>
      <c r="B176" s="2">
        <v>111.5</v>
      </c>
      <c r="C176" s="2">
        <v>0</v>
      </c>
      <c r="D176" s="2">
        <v>111.5</v>
      </c>
    </row>
    <row r="177" spans="1:4" x14ac:dyDescent="0.3">
      <c r="A177" s="19">
        <v>140515</v>
      </c>
      <c r="B177" s="2">
        <v>111.5</v>
      </c>
      <c r="C177" s="2">
        <v>0</v>
      </c>
      <c r="D177" s="2">
        <v>111.5</v>
      </c>
    </row>
    <row r="178" spans="1:4" x14ac:dyDescent="0.3">
      <c r="A178" s="19">
        <v>139894</v>
      </c>
      <c r="B178" s="2">
        <v>111.5</v>
      </c>
      <c r="C178" s="2">
        <v>0</v>
      </c>
      <c r="D178" s="2">
        <v>111.5</v>
      </c>
    </row>
    <row r="179" spans="1:4" x14ac:dyDescent="0.3">
      <c r="A179" s="19">
        <v>140985</v>
      </c>
      <c r="B179" s="2">
        <v>120</v>
      </c>
      <c r="C179" s="2">
        <v>0</v>
      </c>
      <c r="D179" s="2">
        <v>120</v>
      </c>
    </row>
    <row r="180" spans="1:4" x14ac:dyDescent="0.3">
      <c r="A180" s="19">
        <v>140915</v>
      </c>
      <c r="B180" s="2">
        <v>120</v>
      </c>
      <c r="C180" s="2">
        <v>120</v>
      </c>
      <c r="D180" s="2">
        <v>0</v>
      </c>
    </row>
    <row r="181" spans="1:4" x14ac:dyDescent="0.3">
      <c r="A181" s="19">
        <v>140752</v>
      </c>
      <c r="B181" s="2">
        <v>120</v>
      </c>
      <c r="C181" s="2">
        <v>0</v>
      </c>
      <c r="D181" s="2">
        <v>120</v>
      </c>
    </row>
    <row r="182" spans="1:4" x14ac:dyDescent="0.3">
      <c r="A182" s="19">
        <v>140415</v>
      </c>
      <c r="B182" s="2">
        <v>120</v>
      </c>
      <c r="C182" s="2">
        <v>120</v>
      </c>
      <c r="D182" s="2">
        <v>0</v>
      </c>
    </row>
    <row r="183" spans="1:4" x14ac:dyDescent="0.3">
      <c r="A183" s="19">
        <v>140111</v>
      </c>
      <c r="B183" s="2">
        <v>120</v>
      </c>
      <c r="C183" s="2">
        <v>0</v>
      </c>
      <c r="D183" s="2">
        <v>120</v>
      </c>
    </row>
    <row r="184" spans="1:4" x14ac:dyDescent="0.3">
      <c r="A184" s="19">
        <v>140054</v>
      </c>
      <c r="B184" s="2">
        <v>120</v>
      </c>
      <c r="C184" s="2">
        <v>120</v>
      </c>
      <c r="D184" s="2">
        <v>0</v>
      </c>
    </row>
    <row r="185" spans="1:4" x14ac:dyDescent="0.3">
      <c r="A185" s="19">
        <v>141099</v>
      </c>
      <c r="B185" s="2">
        <v>123</v>
      </c>
      <c r="C185" s="2">
        <v>0</v>
      </c>
      <c r="D185" s="2">
        <v>123</v>
      </c>
    </row>
    <row r="186" spans="1:4" x14ac:dyDescent="0.3">
      <c r="A186" s="19">
        <v>140842</v>
      </c>
      <c r="B186" s="2">
        <v>123</v>
      </c>
      <c r="C186" s="2">
        <v>0</v>
      </c>
      <c r="D186" s="2">
        <v>123</v>
      </c>
    </row>
    <row r="187" spans="1:4" x14ac:dyDescent="0.3">
      <c r="A187" s="19">
        <v>140597</v>
      </c>
      <c r="B187" s="2">
        <v>124.5</v>
      </c>
      <c r="C187" s="2">
        <v>0</v>
      </c>
      <c r="D187" s="2">
        <v>124.5</v>
      </c>
    </row>
    <row r="188" spans="1:4" x14ac:dyDescent="0.3">
      <c r="A188" s="19">
        <v>140731</v>
      </c>
      <c r="B188" s="2">
        <v>130</v>
      </c>
      <c r="C188" s="2">
        <v>130</v>
      </c>
      <c r="D188" s="2">
        <v>0</v>
      </c>
    </row>
    <row r="189" spans="1:4" x14ac:dyDescent="0.3">
      <c r="A189" s="19">
        <v>140685</v>
      </c>
      <c r="B189" s="2">
        <v>130</v>
      </c>
      <c r="C189" s="2">
        <v>0</v>
      </c>
      <c r="D189" s="2">
        <v>130</v>
      </c>
    </row>
    <row r="190" spans="1:4" x14ac:dyDescent="0.3">
      <c r="A190" s="19">
        <v>139767</v>
      </c>
      <c r="B190" s="2">
        <v>130</v>
      </c>
      <c r="C190" s="2">
        <v>130</v>
      </c>
      <c r="D190" s="2">
        <v>0</v>
      </c>
    </row>
    <row r="191" spans="1:4" x14ac:dyDescent="0.3">
      <c r="A191" s="19">
        <v>140755</v>
      </c>
      <c r="B191" s="2">
        <v>131.5</v>
      </c>
      <c r="C191" s="2">
        <v>131.5</v>
      </c>
      <c r="D191" s="2">
        <v>0</v>
      </c>
    </row>
    <row r="192" spans="1:4" x14ac:dyDescent="0.3">
      <c r="A192" s="19">
        <v>140541</v>
      </c>
      <c r="B192" s="2">
        <v>140</v>
      </c>
      <c r="C192" s="2">
        <v>140</v>
      </c>
      <c r="D192" s="2">
        <v>0</v>
      </c>
    </row>
    <row r="193" spans="1:4" x14ac:dyDescent="0.3">
      <c r="A193" s="19">
        <v>140533</v>
      </c>
      <c r="B193" s="2">
        <v>140</v>
      </c>
      <c r="C193" s="2">
        <v>0</v>
      </c>
      <c r="D193" s="2">
        <v>140</v>
      </c>
    </row>
    <row r="194" spans="1:4" x14ac:dyDescent="0.3">
      <c r="A194" s="19">
        <v>140237</v>
      </c>
      <c r="B194" s="2">
        <v>140</v>
      </c>
      <c r="C194" s="2">
        <v>0</v>
      </c>
      <c r="D194" s="2">
        <v>140</v>
      </c>
    </row>
    <row r="195" spans="1:4" x14ac:dyDescent="0.3">
      <c r="A195" s="19">
        <v>140797</v>
      </c>
      <c r="B195" s="2">
        <v>143</v>
      </c>
      <c r="C195" s="2">
        <v>0</v>
      </c>
      <c r="D195" s="2">
        <v>143</v>
      </c>
    </row>
    <row r="196" spans="1:4" x14ac:dyDescent="0.3">
      <c r="A196" s="19">
        <v>140555</v>
      </c>
      <c r="B196" s="2">
        <v>143</v>
      </c>
      <c r="C196" s="2">
        <v>0</v>
      </c>
      <c r="D196" s="2">
        <v>143</v>
      </c>
    </row>
    <row r="197" spans="1:4" x14ac:dyDescent="0.3">
      <c r="A197" s="19">
        <v>140808</v>
      </c>
      <c r="B197" s="2">
        <v>150</v>
      </c>
      <c r="C197" s="2">
        <v>150</v>
      </c>
      <c r="D197" s="2">
        <v>0</v>
      </c>
    </row>
    <row r="198" spans="1:4" x14ac:dyDescent="0.3">
      <c r="A198" s="19">
        <v>140761</v>
      </c>
      <c r="B198" s="2">
        <v>150</v>
      </c>
      <c r="C198" s="2">
        <v>150</v>
      </c>
      <c r="D198" s="2">
        <v>0</v>
      </c>
    </row>
    <row r="199" spans="1:4" x14ac:dyDescent="0.3">
      <c r="A199" s="19">
        <v>140312</v>
      </c>
      <c r="B199" s="2">
        <v>150</v>
      </c>
      <c r="C199" s="2">
        <v>0</v>
      </c>
      <c r="D199" s="2">
        <v>150</v>
      </c>
    </row>
    <row r="200" spans="1:4" x14ac:dyDescent="0.3">
      <c r="A200" s="19">
        <v>139618</v>
      </c>
      <c r="B200" s="2">
        <v>150</v>
      </c>
      <c r="C200" s="2">
        <v>0</v>
      </c>
      <c r="D200" s="2">
        <v>150</v>
      </c>
    </row>
    <row r="201" spans="1:4" x14ac:dyDescent="0.3">
      <c r="A201" s="19">
        <v>140724</v>
      </c>
      <c r="B201" s="2">
        <v>154.5</v>
      </c>
      <c r="C201" s="2">
        <v>0</v>
      </c>
      <c r="D201" s="2">
        <v>154.5</v>
      </c>
    </row>
    <row r="202" spans="1:4" x14ac:dyDescent="0.3">
      <c r="A202" s="19">
        <v>140213</v>
      </c>
      <c r="B202" s="2">
        <v>160</v>
      </c>
      <c r="C202" s="2">
        <v>160</v>
      </c>
      <c r="D202" s="2">
        <v>0</v>
      </c>
    </row>
    <row r="203" spans="1:4" x14ac:dyDescent="0.3">
      <c r="A203" s="19">
        <v>140012</v>
      </c>
      <c r="B203" s="2">
        <v>160</v>
      </c>
      <c r="C203" s="2">
        <v>160</v>
      </c>
      <c r="D203" s="2">
        <v>0</v>
      </c>
    </row>
    <row r="204" spans="1:4" x14ac:dyDescent="0.3">
      <c r="A204" s="19">
        <v>140405</v>
      </c>
      <c r="B204" s="2">
        <v>165.38</v>
      </c>
      <c r="C204" s="2">
        <v>165.38</v>
      </c>
      <c r="D204" s="2">
        <v>0</v>
      </c>
    </row>
    <row r="205" spans="1:4" x14ac:dyDescent="0.3">
      <c r="A205" s="19">
        <v>140298</v>
      </c>
      <c r="B205" s="2">
        <v>170</v>
      </c>
      <c r="C205" s="2">
        <v>0</v>
      </c>
      <c r="D205" s="2">
        <v>170</v>
      </c>
    </row>
    <row r="206" spans="1:4" x14ac:dyDescent="0.3">
      <c r="A206" s="19">
        <v>141022</v>
      </c>
      <c r="B206" s="2">
        <v>181.12</v>
      </c>
      <c r="C206" s="2">
        <v>181.12</v>
      </c>
      <c r="D206" s="2">
        <v>0</v>
      </c>
    </row>
    <row r="207" spans="1:4" x14ac:dyDescent="0.3">
      <c r="A207" s="19">
        <v>141032</v>
      </c>
      <c r="B207" s="2">
        <v>183</v>
      </c>
      <c r="C207" s="2">
        <v>0</v>
      </c>
      <c r="D207" s="2">
        <v>183</v>
      </c>
    </row>
    <row r="208" spans="1:4" x14ac:dyDescent="0.3">
      <c r="A208" s="19">
        <v>140669</v>
      </c>
      <c r="B208" s="2">
        <v>189</v>
      </c>
      <c r="C208" s="2">
        <v>0</v>
      </c>
      <c r="D208" s="2">
        <v>189</v>
      </c>
    </row>
    <row r="209" spans="1:4" x14ac:dyDescent="0.3">
      <c r="A209" s="19">
        <v>140478</v>
      </c>
      <c r="B209" s="2">
        <v>189</v>
      </c>
      <c r="C209" s="2">
        <v>189</v>
      </c>
      <c r="D209" s="2">
        <v>0</v>
      </c>
    </row>
    <row r="210" spans="1:4" x14ac:dyDescent="0.3">
      <c r="A210" s="19">
        <v>140551</v>
      </c>
      <c r="B210" s="2">
        <v>194.5</v>
      </c>
      <c r="C210" s="2">
        <v>0</v>
      </c>
      <c r="D210" s="2">
        <v>194.5</v>
      </c>
    </row>
    <row r="211" spans="1:4" x14ac:dyDescent="0.3">
      <c r="A211" s="19">
        <v>140156</v>
      </c>
      <c r="B211" s="2">
        <v>200</v>
      </c>
      <c r="C211" s="2">
        <v>0</v>
      </c>
      <c r="D211" s="2">
        <v>200</v>
      </c>
    </row>
    <row r="212" spans="1:4" x14ac:dyDescent="0.3">
      <c r="A212" s="19">
        <v>140052</v>
      </c>
      <c r="B212" s="2">
        <v>200</v>
      </c>
      <c r="C212" s="2">
        <v>200</v>
      </c>
      <c r="D212" s="2">
        <v>0</v>
      </c>
    </row>
    <row r="213" spans="1:4" x14ac:dyDescent="0.3">
      <c r="A213" s="19">
        <v>140841</v>
      </c>
      <c r="B213" s="2">
        <v>210</v>
      </c>
      <c r="C213" s="2">
        <v>0</v>
      </c>
      <c r="D213" s="2">
        <v>210</v>
      </c>
    </row>
    <row r="214" spans="1:4" x14ac:dyDescent="0.3">
      <c r="A214" s="19">
        <v>140836</v>
      </c>
      <c r="B214" s="2">
        <v>210</v>
      </c>
      <c r="C214" s="2">
        <v>0</v>
      </c>
      <c r="D214" s="2">
        <v>210</v>
      </c>
    </row>
    <row r="215" spans="1:4" x14ac:dyDescent="0.3">
      <c r="A215" s="19">
        <v>136412</v>
      </c>
      <c r="B215" s="2">
        <v>220</v>
      </c>
      <c r="C215" s="2">
        <v>0</v>
      </c>
      <c r="D215" s="2">
        <v>220</v>
      </c>
    </row>
    <row r="216" spans="1:4" x14ac:dyDescent="0.3">
      <c r="A216" s="19">
        <v>140807</v>
      </c>
      <c r="B216" s="2">
        <v>236.25</v>
      </c>
      <c r="C216" s="2">
        <v>236.25</v>
      </c>
      <c r="D216" s="2">
        <v>0</v>
      </c>
    </row>
    <row r="217" spans="1:4" x14ac:dyDescent="0.3">
      <c r="A217" s="19">
        <v>139180</v>
      </c>
      <c r="B217" s="2">
        <v>240</v>
      </c>
      <c r="C217" s="2">
        <v>0</v>
      </c>
      <c r="D217" s="2">
        <v>240</v>
      </c>
    </row>
    <row r="218" spans="1:4" x14ac:dyDescent="0.3">
      <c r="A218" s="19">
        <v>140788</v>
      </c>
      <c r="B218" s="2">
        <v>246</v>
      </c>
      <c r="C218" s="2">
        <v>0</v>
      </c>
      <c r="D218" s="2">
        <v>246</v>
      </c>
    </row>
    <row r="219" spans="1:4" x14ac:dyDescent="0.3">
      <c r="A219" s="19">
        <v>140657</v>
      </c>
      <c r="B219" s="2">
        <v>247.25</v>
      </c>
      <c r="C219" s="2">
        <v>247.25</v>
      </c>
      <c r="D219" s="2">
        <v>0</v>
      </c>
    </row>
    <row r="220" spans="1:4" x14ac:dyDescent="0.3">
      <c r="A220" s="19">
        <v>140477</v>
      </c>
      <c r="B220" s="2">
        <v>250</v>
      </c>
      <c r="C220" s="2">
        <v>0</v>
      </c>
      <c r="D220" s="2">
        <v>250</v>
      </c>
    </row>
    <row r="221" spans="1:4" x14ac:dyDescent="0.3">
      <c r="A221" s="19">
        <v>140399</v>
      </c>
      <c r="B221" s="2">
        <v>250</v>
      </c>
      <c r="C221" s="2">
        <v>0</v>
      </c>
      <c r="D221" s="2">
        <v>250</v>
      </c>
    </row>
    <row r="222" spans="1:4" x14ac:dyDescent="0.3">
      <c r="A222" s="19">
        <v>140563</v>
      </c>
      <c r="B222" s="2">
        <v>252</v>
      </c>
      <c r="C222" s="2">
        <v>0</v>
      </c>
      <c r="D222" s="2">
        <v>252</v>
      </c>
    </row>
    <row r="223" spans="1:4" x14ac:dyDescent="0.3">
      <c r="A223" s="19">
        <v>140949</v>
      </c>
      <c r="B223" s="2">
        <v>310</v>
      </c>
      <c r="C223" s="2">
        <v>0</v>
      </c>
      <c r="D223" s="2">
        <v>310</v>
      </c>
    </row>
    <row r="224" spans="1:4" x14ac:dyDescent="0.3">
      <c r="A224" s="19">
        <v>140961</v>
      </c>
      <c r="B224" s="2">
        <v>314.5</v>
      </c>
      <c r="C224" s="2">
        <v>314.5</v>
      </c>
      <c r="D224" s="2">
        <v>0</v>
      </c>
    </row>
    <row r="225" spans="1:4" x14ac:dyDescent="0.3">
      <c r="A225" s="19">
        <v>140858</v>
      </c>
      <c r="B225" s="2">
        <v>317.5</v>
      </c>
      <c r="C225" s="2">
        <v>0</v>
      </c>
      <c r="D225" s="2">
        <v>317.5</v>
      </c>
    </row>
    <row r="226" spans="1:4" x14ac:dyDescent="0.3">
      <c r="A226" s="19">
        <v>140664</v>
      </c>
      <c r="B226" s="2">
        <v>330.75</v>
      </c>
      <c r="C226" s="2">
        <v>330.75</v>
      </c>
      <c r="D226" s="2">
        <v>0</v>
      </c>
    </row>
    <row r="227" spans="1:4" x14ac:dyDescent="0.3">
      <c r="A227" s="19">
        <v>140392</v>
      </c>
      <c r="B227" s="2">
        <v>346.5</v>
      </c>
      <c r="C227" s="2">
        <v>346.5</v>
      </c>
      <c r="D227" s="2">
        <v>0</v>
      </c>
    </row>
    <row r="228" spans="1:4" x14ac:dyDescent="0.3">
      <c r="A228" s="19">
        <v>140951</v>
      </c>
      <c r="B228" s="2">
        <v>349</v>
      </c>
      <c r="C228" s="2">
        <v>0</v>
      </c>
      <c r="D228" s="2">
        <v>349</v>
      </c>
    </row>
    <row r="229" spans="1:4" x14ac:dyDescent="0.3">
      <c r="A229" s="19">
        <v>140705</v>
      </c>
      <c r="B229" s="2">
        <v>389</v>
      </c>
      <c r="C229" s="2">
        <v>0</v>
      </c>
      <c r="D229" s="2">
        <v>389</v>
      </c>
    </row>
    <row r="230" spans="1:4" x14ac:dyDescent="0.3">
      <c r="A230" s="19">
        <v>140810</v>
      </c>
      <c r="B230" s="2">
        <v>390</v>
      </c>
      <c r="C230" s="2">
        <v>390</v>
      </c>
      <c r="D230" s="2">
        <v>0</v>
      </c>
    </row>
    <row r="231" spans="1:4" x14ac:dyDescent="0.3">
      <c r="A231" s="19">
        <v>140398</v>
      </c>
      <c r="B231" s="2">
        <v>390.5</v>
      </c>
      <c r="C231" s="2">
        <v>0</v>
      </c>
      <c r="D231" s="2">
        <v>390.5</v>
      </c>
    </row>
    <row r="232" spans="1:4" x14ac:dyDescent="0.3">
      <c r="A232" s="19">
        <v>140926</v>
      </c>
      <c r="B232" s="2">
        <v>409.5</v>
      </c>
      <c r="C232" s="2">
        <v>0</v>
      </c>
      <c r="D232" s="2">
        <v>409.5</v>
      </c>
    </row>
    <row r="233" spans="1:4" x14ac:dyDescent="0.3">
      <c r="A233" s="19">
        <v>140730</v>
      </c>
      <c r="B233" s="2">
        <v>409.5</v>
      </c>
      <c r="C233" s="2">
        <v>409.5</v>
      </c>
      <c r="D233" s="2">
        <v>0</v>
      </c>
    </row>
    <row r="234" spans="1:4" x14ac:dyDescent="0.3">
      <c r="A234" s="19">
        <v>140856</v>
      </c>
      <c r="B234" s="2">
        <v>420.5</v>
      </c>
      <c r="C234" s="2">
        <v>0</v>
      </c>
      <c r="D234" s="2">
        <v>420.5</v>
      </c>
    </row>
    <row r="235" spans="1:4" x14ac:dyDescent="0.3">
      <c r="A235" s="19">
        <v>139987</v>
      </c>
      <c r="B235" s="2">
        <v>429</v>
      </c>
      <c r="C235" s="2">
        <v>0</v>
      </c>
      <c r="D235" s="2">
        <v>429</v>
      </c>
    </row>
    <row r="236" spans="1:4" x14ac:dyDescent="0.3">
      <c r="A236" s="19">
        <v>140927</v>
      </c>
      <c r="B236" s="2">
        <v>500</v>
      </c>
      <c r="C236" s="2">
        <v>0</v>
      </c>
      <c r="D236" s="2">
        <v>500</v>
      </c>
    </row>
    <row r="237" spans="1:4" x14ac:dyDescent="0.3">
      <c r="A237" s="19">
        <v>140548</v>
      </c>
      <c r="B237" s="2">
        <v>500.5</v>
      </c>
      <c r="C237" s="2">
        <v>0</v>
      </c>
      <c r="D237" s="2">
        <v>500.5</v>
      </c>
    </row>
    <row r="238" spans="1:4" x14ac:dyDescent="0.3">
      <c r="A238" s="19">
        <v>139515</v>
      </c>
      <c r="B238" s="2">
        <v>535.5</v>
      </c>
      <c r="C238" s="2">
        <v>535.5</v>
      </c>
      <c r="D238" s="2">
        <v>0</v>
      </c>
    </row>
    <row r="239" spans="1:4" x14ac:dyDescent="0.3">
      <c r="A239" s="19">
        <v>140459</v>
      </c>
      <c r="B239" s="2">
        <v>557.5</v>
      </c>
      <c r="C239" s="2">
        <v>0</v>
      </c>
      <c r="D239" s="2">
        <v>557.5</v>
      </c>
    </row>
    <row r="240" spans="1:4" x14ac:dyDescent="0.3">
      <c r="A240" s="19">
        <v>140564</v>
      </c>
      <c r="B240" s="2">
        <v>603.5</v>
      </c>
      <c r="C240" s="2">
        <v>0</v>
      </c>
      <c r="D240" s="2">
        <v>603.5</v>
      </c>
    </row>
    <row r="241" spans="1:4" x14ac:dyDescent="0.3">
      <c r="A241" s="19">
        <v>139975</v>
      </c>
      <c r="B241" s="2">
        <v>643.5</v>
      </c>
      <c r="C241" s="2">
        <v>0</v>
      </c>
      <c r="D241" s="2">
        <v>643.5</v>
      </c>
    </row>
    <row r="242" spans="1:4" x14ac:dyDescent="0.3">
      <c r="A242" s="19">
        <v>139773</v>
      </c>
      <c r="B242" s="2">
        <v>692</v>
      </c>
      <c r="C242" s="2">
        <v>0</v>
      </c>
      <c r="D242" s="2">
        <v>692</v>
      </c>
    </row>
    <row r="243" spans="1:4" x14ac:dyDescent="0.3">
      <c r="A243" s="19">
        <v>140177</v>
      </c>
      <c r="B243" s="2">
        <v>724.5</v>
      </c>
      <c r="C243" s="2">
        <v>0</v>
      </c>
      <c r="D243" s="2">
        <v>724.5</v>
      </c>
    </row>
    <row r="244" spans="1:4" x14ac:dyDescent="0.3">
      <c r="A244" s="19">
        <v>140790</v>
      </c>
      <c r="B244" s="2">
        <v>738</v>
      </c>
      <c r="C244" s="2">
        <v>0</v>
      </c>
      <c r="D244" s="2">
        <v>738</v>
      </c>
    </row>
    <row r="245" spans="1:4" x14ac:dyDescent="0.3">
      <c r="A245" s="19">
        <v>140155</v>
      </c>
      <c r="B245" s="2">
        <v>788.75</v>
      </c>
      <c r="C245" s="2">
        <v>0</v>
      </c>
      <c r="D245" s="2">
        <v>788.75</v>
      </c>
    </row>
    <row r="246" spans="1:4" x14ac:dyDescent="0.3">
      <c r="A246" s="19">
        <v>139638</v>
      </c>
      <c r="B246" s="2">
        <v>791.5</v>
      </c>
      <c r="C246" s="2">
        <v>0</v>
      </c>
      <c r="D246" s="2">
        <v>791.5</v>
      </c>
    </row>
    <row r="247" spans="1:4" x14ac:dyDescent="0.3">
      <c r="A247" s="19">
        <v>140190</v>
      </c>
      <c r="B247" s="2">
        <v>820</v>
      </c>
      <c r="C247" s="2">
        <v>0</v>
      </c>
      <c r="D247" s="2">
        <v>820</v>
      </c>
    </row>
    <row r="248" spans="1:4" x14ac:dyDescent="0.3">
      <c r="A248" s="19">
        <v>140148</v>
      </c>
      <c r="B248" s="2">
        <v>872.5</v>
      </c>
      <c r="C248" s="2">
        <v>0</v>
      </c>
      <c r="D248" s="2">
        <v>872.5</v>
      </c>
    </row>
    <row r="249" spans="1:4" x14ac:dyDescent="0.3">
      <c r="A249" s="19">
        <v>139979</v>
      </c>
      <c r="B249" s="2">
        <v>886.5</v>
      </c>
      <c r="C249" s="2">
        <v>0</v>
      </c>
      <c r="D249" s="2">
        <v>886.5</v>
      </c>
    </row>
    <row r="250" spans="1:4" x14ac:dyDescent="0.3">
      <c r="A250" s="19">
        <v>140547</v>
      </c>
      <c r="B250" s="2">
        <v>901.5</v>
      </c>
      <c r="C250" s="2">
        <v>0</v>
      </c>
      <c r="D250" s="2">
        <v>901.5</v>
      </c>
    </row>
    <row r="251" spans="1:4" x14ac:dyDescent="0.3">
      <c r="A251" s="19">
        <v>140488</v>
      </c>
      <c r="B251" s="2">
        <v>913.5</v>
      </c>
      <c r="C251" s="2">
        <v>0</v>
      </c>
      <c r="D251" s="2">
        <v>913.5</v>
      </c>
    </row>
    <row r="252" spans="1:4" x14ac:dyDescent="0.3">
      <c r="A252" s="19">
        <v>141024</v>
      </c>
      <c r="B252" s="2">
        <v>944</v>
      </c>
      <c r="C252" s="2">
        <v>0</v>
      </c>
      <c r="D252" s="2">
        <v>944</v>
      </c>
    </row>
    <row r="253" spans="1:4" x14ac:dyDescent="0.3">
      <c r="A253" s="19">
        <v>137241</v>
      </c>
      <c r="B253" s="2">
        <v>1029.5</v>
      </c>
      <c r="C253" s="2">
        <v>0</v>
      </c>
      <c r="D253" s="2">
        <v>1029.5</v>
      </c>
    </row>
    <row r="254" spans="1:4" x14ac:dyDescent="0.3">
      <c r="A254" s="19">
        <v>138704</v>
      </c>
      <c r="B254" s="2">
        <v>1051.75</v>
      </c>
      <c r="C254" s="2">
        <v>971.75</v>
      </c>
      <c r="D254" s="2">
        <v>80</v>
      </c>
    </row>
    <row r="255" spans="1:4" x14ac:dyDescent="0.3">
      <c r="A255" s="19">
        <v>140133</v>
      </c>
      <c r="B255" s="2">
        <v>1241.5</v>
      </c>
      <c r="C255" s="2">
        <v>0</v>
      </c>
      <c r="D255" s="2">
        <v>1241.5</v>
      </c>
    </row>
    <row r="256" spans="1:4" x14ac:dyDescent="0.3">
      <c r="A256" s="19">
        <v>140018</v>
      </c>
      <c r="B256" s="2">
        <v>1244.25</v>
      </c>
      <c r="C256" s="2">
        <v>0</v>
      </c>
      <c r="D256" s="2">
        <v>1244.25</v>
      </c>
    </row>
    <row r="257" spans="1:4" x14ac:dyDescent="0.3">
      <c r="A257" s="19">
        <v>139899</v>
      </c>
      <c r="B257" s="2">
        <v>1270</v>
      </c>
      <c r="C257" s="2">
        <v>1230</v>
      </c>
      <c r="D257" s="2">
        <v>40</v>
      </c>
    </row>
    <row r="258" spans="1:4" x14ac:dyDescent="0.3">
      <c r="A258" s="19">
        <v>140402</v>
      </c>
      <c r="B258" s="2">
        <v>1283.6199999999999</v>
      </c>
      <c r="C258" s="2">
        <v>1283.6199999999999</v>
      </c>
      <c r="D258" s="2">
        <v>0</v>
      </c>
    </row>
    <row r="259" spans="1:4" x14ac:dyDescent="0.3">
      <c r="A259" s="19">
        <v>139976</v>
      </c>
      <c r="B259" s="2">
        <v>1413.5</v>
      </c>
      <c r="C259" s="2">
        <v>0</v>
      </c>
      <c r="D259" s="2">
        <v>1413.5</v>
      </c>
    </row>
    <row r="260" spans="1:4" x14ac:dyDescent="0.3">
      <c r="A260" s="19">
        <v>140362</v>
      </c>
      <c r="B260" s="2">
        <v>1423.5</v>
      </c>
      <c r="C260" s="2">
        <v>0</v>
      </c>
      <c r="D260" s="2">
        <v>1423.5</v>
      </c>
    </row>
    <row r="261" spans="1:4" x14ac:dyDescent="0.3">
      <c r="A261" s="19">
        <v>139984</v>
      </c>
      <c r="B261" s="2">
        <v>1638</v>
      </c>
      <c r="C261" s="2">
        <v>0</v>
      </c>
      <c r="D261" s="2">
        <v>1638</v>
      </c>
    </row>
    <row r="262" spans="1:4" x14ac:dyDescent="0.3">
      <c r="A262" s="19">
        <v>140053</v>
      </c>
      <c r="B262" s="2">
        <v>1660</v>
      </c>
      <c r="C262" s="2">
        <v>1660</v>
      </c>
      <c r="D262" s="2">
        <v>0</v>
      </c>
    </row>
    <row r="263" spans="1:4" x14ac:dyDescent="0.3">
      <c r="A263" s="19">
        <v>135634</v>
      </c>
      <c r="B263" s="2">
        <v>2322.25</v>
      </c>
      <c r="C263" s="2">
        <v>0</v>
      </c>
      <c r="D263" s="2">
        <v>2322.25</v>
      </c>
    </row>
    <row r="264" spans="1:4" x14ac:dyDescent="0.3">
      <c r="A264" s="19">
        <v>140388</v>
      </c>
      <c r="B264" s="2">
        <v>3174.5</v>
      </c>
      <c r="C264" s="2">
        <v>3174.5</v>
      </c>
      <c r="D264" s="2">
        <v>0</v>
      </c>
    </row>
    <row r="265" spans="1:4" x14ac:dyDescent="0.3">
      <c r="A265" s="19">
        <v>139314</v>
      </c>
      <c r="B265" s="2">
        <v>3526</v>
      </c>
      <c r="C265" s="2">
        <v>0</v>
      </c>
      <c r="D265" s="2">
        <v>3526</v>
      </c>
    </row>
    <row r="266" spans="1:4" x14ac:dyDescent="0.3">
      <c r="A266" s="19">
        <v>139347</v>
      </c>
      <c r="B266" s="2">
        <v>3692</v>
      </c>
      <c r="C266" s="2">
        <v>0</v>
      </c>
      <c r="D266" s="2">
        <v>3692</v>
      </c>
    </row>
    <row r="267" spans="1:4" x14ac:dyDescent="0.3">
      <c r="A267" s="19">
        <v>139794</v>
      </c>
      <c r="B267" s="2">
        <v>4320</v>
      </c>
      <c r="C267" s="2">
        <v>0</v>
      </c>
      <c r="D267" s="2">
        <v>4320</v>
      </c>
    </row>
    <row r="268" spans="1:4" x14ac:dyDescent="0.3">
      <c r="A268" s="19">
        <v>130679</v>
      </c>
      <c r="B268" s="2">
        <v>13749.75</v>
      </c>
      <c r="C268" s="2">
        <v>13749.75</v>
      </c>
      <c r="D268" s="2">
        <v>0</v>
      </c>
    </row>
    <row r="269" spans="1:4" x14ac:dyDescent="0.3">
      <c r="A269" s="19"/>
    </row>
    <row r="270" spans="1:4" x14ac:dyDescent="0.3">
      <c r="A270" s="19"/>
    </row>
    <row r="271" spans="1:4" x14ac:dyDescent="0.3">
      <c r="A271" s="19"/>
    </row>
    <row r="272" spans="1:4" x14ac:dyDescent="0.3">
      <c r="A272" s="19"/>
    </row>
    <row r="273" spans="1:1" x14ac:dyDescent="0.3">
      <c r="A273" s="19"/>
    </row>
    <row r="274" spans="1:1" x14ac:dyDescent="0.3">
      <c r="A274" s="19"/>
    </row>
    <row r="275" spans="1:1" x14ac:dyDescent="0.3">
      <c r="A275" s="19"/>
    </row>
    <row r="276" spans="1:1" x14ac:dyDescent="0.3">
      <c r="A276" s="19"/>
    </row>
    <row r="277" spans="1:1" x14ac:dyDescent="0.3">
      <c r="A277" s="19"/>
    </row>
    <row r="278" spans="1:1" x14ac:dyDescent="0.3">
      <c r="A278" s="19"/>
    </row>
    <row r="279" spans="1:1" x14ac:dyDescent="0.3">
      <c r="A279" s="19"/>
    </row>
    <row r="280" spans="1:1" x14ac:dyDescent="0.3">
      <c r="A280" s="19"/>
    </row>
    <row r="281" spans="1:1" x14ac:dyDescent="0.3">
      <c r="A281" s="19"/>
    </row>
    <row r="282" spans="1:1" x14ac:dyDescent="0.3">
      <c r="A282" s="19"/>
    </row>
    <row r="283" spans="1:1" x14ac:dyDescent="0.3">
      <c r="A283" s="19"/>
    </row>
    <row r="284" spans="1:1" x14ac:dyDescent="0.3">
      <c r="A284" s="19"/>
    </row>
    <row r="285" spans="1:1" x14ac:dyDescent="0.3">
      <c r="A285" s="19"/>
    </row>
    <row r="286" spans="1:1" x14ac:dyDescent="0.3">
      <c r="A286" s="19"/>
    </row>
    <row r="287" spans="1:1" x14ac:dyDescent="0.3">
      <c r="A287" s="19"/>
    </row>
    <row r="288" spans="1:1" x14ac:dyDescent="0.3">
      <c r="A288" s="19"/>
    </row>
    <row r="289" spans="1:1" x14ac:dyDescent="0.3">
      <c r="A289" s="19"/>
    </row>
    <row r="290" spans="1:1" x14ac:dyDescent="0.3">
      <c r="A290" s="19"/>
    </row>
    <row r="291" spans="1:1" x14ac:dyDescent="0.3">
      <c r="A291" s="19"/>
    </row>
    <row r="292" spans="1:1" x14ac:dyDescent="0.3">
      <c r="A292" s="19"/>
    </row>
    <row r="293" spans="1:1" x14ac:dyDescent="0.3">
      <c r="A293" s="19"/>
    </row>
    <row r="294" spans="1:1" x14ac:dyDescent="0.3">
      <c r="A294" s="19"/>
    </row>
    <row r="295" spans="1:1" x14ac:dyDescent="0.3">
      <c r="A295" s="19"/>
    </row>
    <row r="296" spans="1:1" x14ac:dyDescent="0.3">
      <c r="A296" s="19"/>
    </row>
    <row r="297" spans="1:1" x14ac:dyDescent="0.3">
      <c r="A297" s="19"/>
    </row>
    <row r="298" spans="1:1" x14ac:dyDescent="0.3">
      <c r="A298" s="19"/>
    </row>
    <row r="299" spans="1:1" x14ac:dyDescent="0.3">
      <c r="A299" s="19"/>
    </row>
    <row r="300" spans="1:1" x14ac:dyDescent="0.3">
      <c r="A300" s="19"/>
    </row>
    <row r="301" spans="1:1" x14ac:dyDescent="0.3">
      <c r="A301" s="19"/>
    </row>
    <row r="302" spans="1:1" x14ac:dyDescent="0.3">
      <c r="A302" s="19"/>
    </row>
    <row r="303" spans="1:1" x14ac:dyDescent="0.3">
      <c r="A303" s="19"/>
    </row>
    <row r="304" spans="1:1" x14ac:dyDescent="0.3">
      <c r="A304" s="19"/>
    </row>
    <row r="305" spans="1:1" x14ac:dyDescent="0.3">
      <c r="A305" s="19"/>
    </row>
    <row r="306" spans="1:1" x14ac:dyDescent="0.3">
      <c r="A306" s="19"/>
    </row>
    <row r="307" spans="1:1" x14ac:dyDescent="0.3">
      <c r="A307" s="19"/>
    </row>
    <row r="308" spans="1:1" x14ac:dyDescent="0.3">
      <c r="A308" s="19"/>
    </row>
    <row r="309" spans="1:1" x14ac:dyDescent="0.3">
      <c r="A309" s="19"/>
    </row>
  </sheetData>
  <autoFilter ref="A1:D309" xr:uid="{B1BBB586-5184-44CF-9EBF-43C11903AA7D}">
    <sortState ref="A2:D309">
      <sortCondition ref="A1:A26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426F-FD8E-4174-BD4F-D22DC2E26409}">
  <dimension ref="A1:G13"/>
  <sheetViews>
    <sheetView workbookViewId="0">
      <selection activeCell="E19" sqref="E19"/>
    </sheetView>
  </sheetViews>
  <sheetFormatPr baseColWidth="10" defaultRowHeight="14.4" x14ac:dyDescent="0.3"/>
  <cols>
    <col min="1" max="1" width="13.33203125" bestFit="1" customWidth="1"/>
    <col min="2" max="2" width="11.77734375" bestFit="1" customWidth="1"/>
    <col min="3" max="3" width="18.5546875" bestFit="1" customWidth="1"/>
    <col min="4" max="4" width="14.6640625" bestFit="1" customWidth="1"/>
    <col min="6" max="6" width="6.33203125" bestFit="1" customWidth="1"/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>
        <v>128941</v>
      </c>
      <c r="B2" s="2">
        <v>50</v>
      </c>
      <c r="C2" s="2">
        <v>0</v>
      </c>
      <c r="D2" s="2">
        <v>50</v>
      </c>
      <c r="F2" s="4" t="s">
        <v>4</v>
      </c>
      <c r="G2" s="5">
        <f>SUM(C:C)</f>
        <v>10487.94</v>
      </c>
    </row>
    <row r="3" spans="1:7" x14ac:dyDescent="0.3">
      <c r="A3">
        <v>128957</v>
      </c>
      <c r="B3" s="2">
        <v>60</v>
      </c>
      <c r="C3" s="2">
        <v>60</v>
      </c>
      <c r="D3" s="2">
        <v>0</v>
      </c>
      <c r="F3" s="4" t="s">
        <v>5</v>
      </c>
      <c r="G3" s="5">
        <f>SUM(D:D)</f>
        <v>19293.5</v>
      </c>
    </row>
    <row r="4" spans="1:7" x14ac:dyDescent="0.3">
      <c r="A4">
        <v>128945</v>
      </c>
      <c r="B4" s="2">
        <v>63</v>
      </c>
      <c r="C4" s="2">
        <v>0</v>
      </c>
      <c r="D4" s="2">
        <v>63</v>
      </c>
      <c r="F4" s="4"/>
      <c r="G4" s="4"/>
    </row>
    <row r="5" spans="1:7" x14ac:dyDescent="0.3">
      <c r="A5">
        <v>135518</v>
      </c>
      <c r="B5" s="2">
        <v>94.5</v>
      </c>
      <c r="C5" s="2">
        <v>0</v>
      </c>
      <c r="D5" s="2">
        <v>94.5</v>
      </c>
      <c r="F5" s="4"/>
      <c r="G5" s="6">
        <f>G3+G2</f>
        <v>29781.440000000002</v>
      </c>
    </row>
    <row r="6" spans="1:7" x14ac:dyDescent="0.3">
      <c r="A6">
        <v>130145</v>
      </c>
      <c r="B6" s="2">
        <v>299.25</v>
      </c>
      <c r="C6" s="2">
        <v>0</v>
      </c>
      <c r="D6" s="2">
        <v>299.25</v>
      </c>
    </row>
    <row r="7" spans="1:7" x14ac:dyDescent="0.3">
      <c r="A7">
        <v>128926</v>
      </c>
      <c r="B7" s="2">
        <v>441</v>
      </c>
      <c r="C7" s="2">
        <v>0</v>
      </c>
      <c r="D7" s="2">
        <v>441</v>
      </c>
    </row>
    <row r="8" spans="1:7" x14ac:dyDescent="0.3">
      <c r="A8">
        <v>129056</v>
      </c>
      <c r="B8" s="2">
        <v>504</v>
      </c>
      <c r="C8" s="2">
        <v>0</v>
      </c>
      <c r="D8" s="2">
        <v>504</v>
      </c>
    </row>
    <row r="9" spans="1:7" x14ac:dyDescent="0.3">
      <c r="A9">
        <v>129053</v>
      </c>
      <c r="B9" s="2">
        <v>756</v>
      </c>
      <c r="C9" s="2">
        <v>0</v>
      </c>
      <c r="D9" s="2">
        <v>756</v>
      </c>
    </row>
    <row r="10" spans="1:7" x14ac:dyDescent="0.3">
      <c r="A10">
        <v>128978</v>
      </c>
      <c r="B10" s="2">
        <v>1090</v>
      </c>
      <c r="C10" s="2">
        <v>410</v>
      </c>
      <c r="D10" s="2">
        <v>680</v>
      </c>
    </row>
    <row r="11" spans="1:7" x14ac:dyDescent="0.3">
      <c r="A11">
        <v>128933</v>
      </c>
      <c r="B11" s="2">
        <v>1181.25</v>
      </c>
      <c r="C11" s="2">
        <v>0</v>
      </c>
      <c r="D11" s="2">
        <v>1181.25</v>
      </c>
    </row>
    <row r="12" spans="1:7" x14ac:dyDescent="0.3">
      <c r="A12">
        <v>128928</v>
      </c>
      <c r="B12">
        <v>1772.5</v>
      </c>
      <c r="C12">
        <v>0</v>
      </c>
      <c r="D12">
        <v>1772.5</v>
      </c>
    </row>
    <row r="13" spans="1:7" x14ac:dyDescent="0.3">
      <c r="A13">
        <v>128902</v>
      </c>
      <c r="B13">
        <v>23469.94</v>
      </c>
      <c r="C13">
        <v>10017.94</v>
      </c>
      <c r="D13">
        <v>13452</v>
      </c>
    </row>
  </sheetData>
  <autoFilter ref="A1:D1" xr:uid="{EB74229B-2B12-4654-8649-5D242CDF966D}">
    <sortState ref="A2:D1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3249-C0B1-4BF8-A561-C90A3162B346}">
  <dimension ref="A1:M309"/>
  <sheetViews>
    <sheetView workbookViewId="0">
      <selection activeCell="J2" sqref="J2:M268"/>
    </sheetView>
  </sheetViews>
  <sheetFormatPr baseColWidth="10" defaultRowHeight="14.4" x14ac:dyDescent="0.3"/>
  <cols>
    <col min="1" max="1" width="13.33203125" bestFit="1" customWidth="1"/>
    <col min="2" max="2" width="12.21875" bestFit="1" customWidth="1"/>
    <col min="3" max="3" width="19.88671875" bestFit="1" customWidth="1"/>
    <col min="4" max="4" width="16" bestFit="1" customWidth="1"/>
    <col min="6" max="6" width="6.33203125" bestFit="1" customWidth="1"/>
    <col min="7" max="7" width="11.77734375" bestFit="1" customWidth="1"/>
  </cols>
  <sheetData>
    <row r="1" spans="1:13" x14ac:dyDescent="0.3">
      <c r="A1" s="1" t="s">
        <v>0</v>
      </c>
      <c r="B1" s="7" t="s">
        <v>1</v>
      </c>
      <c r="C1" s="7" t="s">
        <v>2</v>
      </c>
      <c r="D1" s="7" t="s">
        <v>3</v>
      </c>
    </row>
    <row r="2" spans="1:13" x14ac:dyDescent="0.3">
      <c r="A2">
        <v>130679</v>
      </c>
      <c r="B2" s="2"/>
      <c r="C2" s="2"/>
      <c r="D2" s="2"/>
      <c r="F2" s="4" t="s">
        <v>4</v>
      </c>
      <c r="G2" s="5">
        <f>SUM(C:C)</f>
        <v>0</v>
      </c>
      <c r="J2" s="19"/>
      <c r="K2" s="2"/>
      <c r="L2" s="2"/>
      <c r="M2" s="2"/>
    </row>
    <row r="3" spans="1:13" x14ac:dyDescent="0.3">
      <c r="A3">
        <v>137241</v>
      </c>
      <c r="B3" s="2"/>
      <c r="C3" s="2"/>
      <c r="D3" s="2"/>
      <c r="F3" s="4" t="s">
        <v>5</v>
      </c>
      <c r="G3" s="5">
        <f>SUM(D:D)</f>
        <v>0</v>
      </c>
      <c r="J3" s="19"/>
      <c r="K3" s="2"/>
      <c r="L3" s="2"/>
      <c r="M3" s="2"/>
    </row>
    <row r="4" spans="1:13" x14ac:dyDescent="0.3">
      <c r="A4">
        <v>138601</v>
      </c>
      <c r="B4" s="2"/>
      <c r="C4" s="2"/>
      <c r="D4" s="2"/>
      <c r="F4" s="4"/>
      <c r="G4" s="4"/>
      <c r="J4" s="19"/>
      <c r="K4" s="2"/>
      <c r="L4" s="2"/>
      <c r="M4" s="2"/>
    </row>
    <row r="5" spans="1:13" x14ac:dyDescent="0.3">
      <c r="A5">
        <v>139314</v>
      </c>
      <c r="B5" s="2"/>
      <c r="C5" s="2"/>
      <c r="D5" s="2"/>
      <c r="F5" s="4"/>
      <c r="G5" s="6">
        <f>G3+G2</f>
        <v>0</v>
      </c>
      <c r="J5" s="19"/>
      <c r="K5" s="2"/>
      <c r="L5" s="2"/>
      <c r="M5" s="2"/>
    </row>
    <row r="6" spans="1:13" x14ac:dyDescent="0.3">
      <c r="A6">
        <v>139347</v>
      </c>
      <c r="B6" s="2"/>
      <c r="C6" s="2"/>
      <c r="D6" s="2"/>
      <c r="J6" s="19"/>
      <c r="K6" s="2"/>
      <c r="L6" s="2"/>
      <c r="M6" s="2"/>
    </row>
    <row r="7" spans="1:13" x14ac:dyDescent="0.3">
      <c r="A7">
        <v>139675</v>
      </c>
      <c r="B7" s="2"/>
      <c r="C7" s="2"/>
      <c r="D7" s="2"/>
      <c r="J7" s="19"/>
      <c r="K7" s="2"/>
      <c r="L7" s="2"/>
      <c r="M7" s="2"/>
    </row>
    <row r="8" spans="1:13" x14ac:dyDescent="0.3">
      <c r="A8">
        <v>139773</v>
      </c>
      <c r="B8" s="2"/>
      <c r="C8" s="2"/>
      <c r="D8" s="2"/>
      <c r="J8" s="19"/>
      <c r="K8" s="2"/>
      <c r="L8" s="2"/>
      <c r="M8" s="2"/>
    </row>
    <row r="9" spans="1:13" x14ac:dyDescent="0.3">
      <c r="A9">
        <v>139794</v>
      </c>
      <c r="B9" s="2"/>
      <c r="C9" s="2"/>
      <c r="D9" s="2"/>
      <c r="J9" s="19"/>
      <c r="K9" s="2"/>
      <c r="L9" s="2"/>
      <c r="M9" s="2"/>
    </row>
    <row r="10" spans="1:13" x14ac:dyDescent="0.3">
      <c r="A10">
        <v>139899</v>
      </c>
      <c r="B10" s="2"/>
      <c r="C10" s="2"/>
      <c r="D10" s="2"/>
      <c r="J10" s="19"/>
      <c r="K10" s="2"/>
      <c r="L10" s="2"/>
      <c r="M10" s="2"/>
    </row>
    <row r="11" spans="1:13" x14ac:dyDescent="0.3">
      <c r="A11">
        <v>139975</v>
      </c>
      <c r="B11" s="2"/>
      <c r="C11" s="2"/>
      <c r="D11" s="2"/>
      <c r="J11" s="19"/>
      <c r="K11" s="2"/>
      <c r="L11" s="2"/>
      <c r="M11" s="2"/>
    </row>
    <row r="12" spans="1:13" x14ac:dyDescent="0.3">
      <c r="A12">
        <v>139976</v>
      </c>
      <c r="B12" s="2"/>
      <c r="C12" s="2"/>
      <c r="D12" s="2"/>
      <c r="J12" s="19"/>
      <c r="K12" s="2"/>
      <c r="L12" s="2"/>
      <c r="M12" s="2"/>
    </row>
    <row r="13" spans="1:13" x14ac:dyDescent="0.3">
      <c r="A13">
        <v>139979</v>
      </c>
      <c r="B13" s="2"/>
      <c r="C13" s="2"/>
      <c r="D13" s="2"/>
      <c r="J13" s="19"/>
      <c r="K13" s="2"/>
      <c r="L13" s="2"/>
      <c r="M13" s="2"/>
    </row>
    <row r="14" spans="1:13" x14ac:dyDescent="0.3">
      <c r="A14">
        <v>139984</v>
      </c>
      <c r="B14" s="2"/>
      <c r="C14" s="2"/>
      <c r="D14" s="2"/>
      <c r="J14" s="19"/>
      <c r="K14" s="2"/>
      <c r="L14" s="2"/>
      <c r="M14" s="2"/>
    </row>
    <row r="15" spans="1:13" x14ac:dyDescent="0.3">
      <c r="A15">
        <v>139987</v>
      </c>
      <c r="B15" s="2"/>
      <c r="C15" s="2"/>
      <c r="D15" s="2"/>
      <c r="J15" s="19"/>
      <c r="K15" s="2"/>
      <c r="L15" s="2"/>
      <c r="M15" s="2"/>
    </row>
    <row r="16" spans="1:13" x14ac:dyDescent="0.3">
      <c r="A16">
        <v>139988</v>
      </c>
      <c r="B16" s="2"/>
      <c r="C16" s="2"/>
      <c r="D16" s="2"/>
      <c r="J16" s="19"/>
      <c r="K16" s="2"/>
      <c r="L16" s="2"/>
      <c r="M16" s="2"/>
    </row>
    <row r="17" spans="1:13" x14ac:dyDescent="0.3">
      <c r="A17">
        <v>140018</v>
      </c>
      <c r="B17" s="2"/>
      <c r="C17" s="2"/>
      <c r="D17" s="2"/>
      <c r="J17" s="19"/>
      <c r="K17" s="2"/>
      <c r="L17" s="2"/>
      <c r="M17" s="2"/>
    </row>
    <row r="18" spans="1:13" x14ac:dyDescent="0.3">
      <c r="A18">
        <v>140052</v>
      </c>
      <c r="B18" s="2"/>
      <c r="C18" s="2"/>
      <c r="D18" s="2"/>
      <c r="J18" s="19"/>
      <c r="K18" s="2"/>
      <c r="L18" s="2"/>
      <c r="M18" s="2"/>
    </row>
    <row r="19" spans="1:13" x14ac:dyDescent="0.3">
      <c r="A19">
        <v>140053</v>
      </c>
      <c r="B19" s="2"/>
      <c r="C19" s="2"/>
      <c r="D19" s="2"/>
      <c r="J19" s="19"/>
      <c r="K19" s="2"/>
      <c r="L19" s="2"/>
      <c r="M19" s="2"/>
    </row>
    <row r="20" spans="1:13" x14ac:dyDescent="0.3">
      <c r="A20">
        <v>140054</v>
      </c>
      <c r="B20" s="2"/>
      <c r="C20" s="2"/>
      <c r="D20" s="2"/>
      <c r="J20" s="19"/>
      <c r="K20" s="2"/>
      <c r="L20" s="2"/>
      <c r="M20" s="2"/>
    </row>
    <row r="21" spans="1:13" x14ac:dyDescent="0.3">
      <c r="A21">
        <v>140133</v>
      </c>
      <c r="B21" s="2"/>
      <c r="C21" s="2"/>
      <c r="D21" s="2"/>
      <c r="J21" s="19"/>
      <c r="K21" s="2"/>
      <c r="L21" s="2"/>
      <c r="M21" s="2"/>
    </row>
    <row r="22" spans="1:13" x14ac:dyDescent="0.3">
      <c r="A22">
        <v>140148</v>
      </c>
      <c r="B22" s="2"/>
      <c r="C22" s="2"/>
      <c r="D22" s="2"/>
      <c r="J22" s="19"/>
      <c r="K22" s="2"/>
      <c r="L22" s="2"/>
      <c r="M22" s="2"/>
    </row>
    <row r="23" spans="1:13" x14ac:dyDescent="0.3">
      <c r="A23">
        <v>140190</v>
      </c>
      <c r="B23" s="2"/>
      <c r="C23" s="2"/>
      <c r="D23" s="2"/>
      <c r="J23" s="19"/>
      <c r="K23" s="2"/>
      <c r="L23" s="2"/>
      <c r="M23" s="2"/>
    </row>
    <row r="24" spans="1:13" x14ac:dyDescent="0.3">
      <c r="A24">
        <v>140362</v>
      </c>
      <c r="B24" s="2"/>
      <c r="C24" s="2"/>
      <c r="D24" s="2"/>
      <c r="J24" s="19"/>
      <c r="K24" s="2"/>
      <c r="L24" s="2"/>
      <c r="M24" s="2"/>
    </row>
    <row r="25" spans="1:13" x14ac:dyDescent="0.3">
      <c r="A25">
        <v>140388</v>
      </c>
      <c r="B25" s="2"/>
      <c r="C25" s="2"/>
      <c r="D25" s="2"/>
      <c r="J25" s="19"/>
      <c r="K25" s="2"/>
      <c r="L25" s="2"/>
      <c r="M25" s="2"/>
    </row>
    <row r="26" spans="1:13" x14ac:dyDescent="0.3">
      <c r="A26">
        <v>140392</v>
      </c>
      <c r="J26" s="19"/>
      <c r="K26" s="2"/>
      <c r="L26" s="2"/>
      <c r="M26" s="2"/>
    </row>
    <row r="27" spans="1:13" x14ac:dyDescent="0.3">
      <c r="A27">
        <v>140403</v>
      </c>
      <c r="J27" s="19"/>
      <c r="K27" s="2"/>
      <c r="L27" s="2"/>
      <c r="M27" s="2"/>
    </row>
    <row r="28" spans="1:13" x14ac:dyDescent="0.3">
      <c r="A28">
        <v>140405</v>
      </c>
      <c r="B28" s="2"/>
      <c r="C28" s="2"/>
      <c r="D28" s="2"/>
      <c r="J28" s="19"/>
      <c r="K28" s="2"/>
      <c r="L28" s="2"/>
      <c r="M28" s="2"/>
    </row>
    <row r="29" spans="1:13" x14ac:dyDescent="0.3">
      <c r="A29">
        <v>140456</v>
      </c>
      <c r="J29" s="19"/>
      <c r="K29" s="2"/>
      <c r="L29" s="2"/>
      <c r="M29" s="2"/>
    </row>
    <row r="30" spans="1:13" x14ac:dyDescent="0.3">
      <c r="A30">
        <v>140459</v>
      </c>
      <c r="J30" s="19"/>
      <c r="K30" s="2"/>
      <c r="L30" s="2"/>
      <c r="M30" s="2"/>
    </row>
    <row r="31" spans="1:13" x14ac:dyDescent="0.3">
      <c r="A31">
        <v>140478</v>
      </c>
      <c r="B31" s="2"/>
      <c r="C31" s="2"/>
      <c r="D31" s="2"/>
      <c r="J31" s="19"/>
      <c r="K31" s="2"/>
      <c r="L31" s="2"/>
      <c r="M31" s="2"/>
    </row>
    <row r="32" spans="1:13" x14ac:dyDescent="0.3">
      <c r="A32">
        <v>140488</v>
      </c>
      <c r="B32" s="2"/>
      <c r="C32" s="2"/>
      <c r="D32" s="2"/>
      <c r="J32" s="19"/>
      <c r="K32" s="2"/>
      <c r="L32" s="2"/>
      <c r="M32" s="2"/>
    </row>
    <row r="33" spans="1:13" x14ac:dyDescent="0.3">
      <c r="A33">
        <v>140547</v>
      </c>
      <c r="B33" s="2"/>
      <c r="C33" s="2"/>
      <c r="D33" s="2"/>
      <c r="J33" s="19"/>
      <c r="K33" s="2"/>
      <c r="L33" s="2"/>
      <c r="M33" s="2"/>
    </row>
    <row r="34" spans="1:13" x14ac:dyDescent="0.3">
      <c r="A34">
        <v>140548</v>
      </c>
      <c r="B34" s="2"/>
      <c r="C34" s="2"/>
      <c r="D34" s="2"/>
      <c r="J34" s="19"/>
      <c r="K34" s="2"/>
      <c r="L34" s="2"/>
      <c r="M34" s="2"/>
    </row>
    <row r="35" spans="1:13" x14ac:dyDescent="0.3">
      <c r="A35">
        <v>140551</v>
      </c>
      <c r="B35" s="2"/>
      <c r="C35" s="2"/>
      <c r="D35" s="2"/>
      <c r="J35" s="19"/>
      <c r="K35" s="2"/>
      <c r="L35" s="2"/>
      <c r="M35" s="2"/>
    </row>
    <row r="36" spans="1:13" x14ac:dyDescent="0.3">
      <c r="A36">
        <v>140555</v>
      </c>
      <c r="B36" s="2"/>
      <c r="C36" s="2"/>
      <c r="D36" s="2"/>
      <c r="J36" s="19"/>
      <c r="K36" s="2"/>
      <c r="L36" s="2"/>
      <c r="M36" s="2"/>
    </row>
    <row r="37" spans="1:13" x14ac:dyDescent="0.3">
      <c r="A37">
        <v>140564</v>
      </c>
      <c r="B37" s="2"/>
      <c r="C37" s="2"/>
      <c r="D37" s="2"/>
      <c r="J37" s="19"/>
      <c r="K37" s="2"/>
      <c r="L37" s="2"/>
      <c r="M37" s="2"/>
    </row>
    <row r="38" spans="1:13" x14ac:dyDescent="0.3">
      <c r="A38">
        <v>140705</v>
      </c>
      <c r="J38" s="19"/>
      <c r="K38" s="2"/>
      <c r="L38" s="2"/>
      <c r="M38" s="2"/>
    </row>
    <row r="39" spans="1:13" x14ac:dyDescent="0.3">
      <c r="A39">
        <v>140730</v>
      </c>
      <c r="J39" s="19"/>
      <c r="K39" s="2"/>
      <c r="L39" s="2"/>
      <c r="M39" s="2"/>
    </row>
    <row r="40" spans="1:13" x14ac:dyDescent="0.3">
      <c r="A40">
        <v>140788</v>
      </c>
      <c r="B40" s="2"/>
      <c r="C40" s="2"/>
      <c r="D40" s="2"/>
      <c r="J40" s="19"/>
      <c r="K40" s="2"/>
      <c r="L40" s="2"/>
      <c r="M40" s="2"/>
    </row>
    <row r="41" spans="1:13" x14ac:dyDescent="0.3">
      <c r="A41">
        <v>140790</v>
      </c>
      <c r="J41" s="19"/>
      <c r="K41" s="2"/>
      <c r="L41" s="2"/>
      <c r="M41" s="2"/>
    </row>
    <row r="42" spans="1:13" x14ac:dyDescent="0.3">
      <c r="A42">
        <v>140797</v>
      </c>
      <c r="B42" s="2"/>
      <c r="C42" s="2"/>
      <c r="D42" s="2"/>
      <c r="J42" s="19"/>
      <c r="K42" s="2"/>
      <c r="L42" s="2"/>
      <c r="M42" s="2"/>
    </row>
    <row r="43" spans="1:13" x14ac:dyDescent="0.3">
      <c r="A43">
        <v>140842</v>
      </c>
      <c r="J43" s="19"/>
      <c r="K43" s="2"/>
      <c r="L43" s="2"/>
      <c r="M43" s="2"/>
    </row>
    <row r="44" spans="1:13" x14ac:dyDescent="0.3">
      <c r="A44">
        <v>140856</v>
      </c>
      <c r="J44" s="19"/>
      <c r="K44" s="2"/>
      <c r="L44" s="2"/>
      <c r="M44" s="2"/>
    </row>
    <row r="45" spans="1:13" x14ac:dyDescent="0.3">
      <c r="A45">
        <v>140858</v>
      </c>
      <c r="B45" s="2"/>
      <c r="C45" s="2"/>
      <c r="D45" s="2"/>
      <c r="J45" s="19"/>
      <c r="K45" s="2"/>
      <c r="L45" s="2"/>
      <c r="M45" s="2"/>
    </row>
    <row r="46" spans="1:13" x14ac:dyDescent="0.3">
      <c r="A46">
        <v>140951</v>
      </c>
      <c r="B46" s="2"/>
      <c r="C46" s="2"/>
      <c r="D46" s="2"/>
      <c r="J46" s="19"/>
      <c r="K46" s="2"/>
      <c r="L46" s="2"/>
      <c r="M46" s="2"/>
    </row>
    <row r="47" spans="1:13" x14ac:dyDescent="0.3">
      <c r="A47">
        <v>141024</v>
      </c>
      <c r="B47" s="2"/>
      <c r="C47" s="2"/>
      <c r="D47" s="2"/>
      <c r="J47" s="19"/>
      <c r="K47" s="2"/>
      <c r="L47" s="2"/>
      <c r="M47" s="2"/>
    </row>
    <row r="48" spans="1:13" x14ac:dyDescent="0.3">
      <c r="B48" s="2"/>
      <c r="C48" s="2"/>
      <c r="D48" s="2"/>
      <c r="J48" s="19"/>
      <c r="K48" s="2"/>
      <c r="L48" s="2"/>
      <c r="M48" s="2"/>
    </row>
    <row r="49" spans="2:13" x14ac:dyDescent="0.3">
      <c r="B49" s="2"/>
      <c r="C49" s="2"/>
      <c r="D49" s="2"/>
      <c r="J49" s="19"/>
      <c r="K49" s="2"/>
      <c r="L49" s="2"/>
      <c r="M49" s="2"/>
    </row>
    <row r="50" spans="2:13" x14ac:dyDescent="0.3">
      <c r="B50" s="2"/>
      <c r="C50" s="2"/>
      <c r="D50" s="2"/>
      <c r="J50" s="19"/>
      <c r="K50" s="2"/>
      <c r="L50" s="2"/>
      <c r="M50" s="2"/>
    </row>
    <row r="51" spans="2:13" x14ac:dyDescent="0.3">
      <c r="B51" s="2"/>
      <c r="C51" s="2"/>
      <c r="D51" s="2"/>
      <c r="J51" s="19"/>
      <c r="K51" s="2"/>
      <c r="L51" s="2"/>
      <c r="M51" s="2"/>
    </row>
    <row r="52" spans="2:13" x14ac:dyDescent="0.3">
      <c r="J52" s="19"/>
      <c r="K52" s="2"/>
      <c r="L52" s="2"/>
      <c r="M52" s="2"/>
    </row>
    <row r="53" spans="2:13" x14ac:dyDescent="0.3">
      <c r="B53" s="2"/>
      <c r="C53" s="2"/>
      <c r="D53" s="2"/>
      <c r="J53" s="19"/>
      <c r="K53" s="2"/>
      <c r="L53" s="2"/>
      <c r="M53" s="2"/>
    </row>
    <row r="54" spans="2:13" x14ac:dyDescent="0.3">
      <c r="B54" s="2"/>
      <c r="C54" s="2"/>
      <c r="D54" s="2"/>
      <c r="J54" s="19"/>
      <c r="K54" s="2"/>
      <c r="L54" s="2"/>
      <c r="M54" s="2"/>
    </row>
    <row r="55" spans="2:13" x14ac:dyDescent="0.3">
      <c r="B55" s="2"/>
      <c r="C55" s="2"/>
      <c r="D55" s="2"/>
      <c r="J55" s="19"/>
      <c r="K55" s="2"/>
      <c r="L55" s="2"/>
      <c r="M55" s="2"/>
    </row>
    <row r="56" spans="2:13" x14ac:dyDescent="0.3">
      <c r="B56" s="2"/>
      <c r="C56" s="2"/>
      <c r="D56" s="2"/>
      <c r="J56" s="19"/>
      <c r="K56" s="2"/>
      <c r="L56" s="2"/>
      <c r="M56" s="2"/>
    </row>
    <row r="57" spans="2:13" x14ac:dyDescent="0.3">
      <c r="B57" s="2"/>
      <c r="C57" s="2"/>
      <c r="D57" s="2"/>
      <c r="J57" s="19"/>
      <c r="K57" s="2"/>
      <c r="L57" s="2"/>
      <c r="M57" s="2"/>
    </row>
    <row r="58" spans="2:13" x14ac:dyDescent="0.3">
      <c r="B58" s="2"/>
      <c r="C58" s="2"/>
      <c r="D58" s="2"/>
      <c r="J58" s="19"/>
      <c r="K58" s="2"/>
      <c r="L58" s="2"/>
      <c r="M58" s="2"/>
    </row>
    <row r="59" spans="2:13" x14ac:dyDescent="0.3">
      <c r="B59" s="2"/>
      <c r="C59" s="2"/>
      <c r="D59" s="2"/>
      <c r="J59" s="19"/>
      <c r="K59" s="2"/>
      <c r="L59" s="2"/>
      <c r="M59" s="2"/>
    </row>
    <row r="60" spans="2:13" x14ac:dyDescent="0.3">
      <c r="B60" s="2"/>
      <c r="C60" s="2"/>
      <c r="D60" s="2"/>
      <c r="J60" s="19"/>
      <c r="K60" s="2"/>
      <c r="L60" s="2"/>
      <c r="M60" s="2"/>
    </row>
    <row r="61" spans="2:13" x14ac:dyDescent="0.3">
      <c r="B61" s="2"/>
      <c r="C61" s="2"/>
      <c r="D61" s="2"/>
      <c r="J61" s="19"/>
      <c r="K61" s="2"/>
      <c r="L61" s="2"/>
      <c r="M61" s="2"/>
    </row>
    <row r="62" spans="2:13" x14ac:dyDescent="0.3">
      <c r="B62" s="2"/>
      <c r="C62" s="2"/>
      <c r="D62" s="2"/>
      <c r="J62" s="19"/>
      <c r="K62" s="2"/>
      <c r="L62" s="2"/>
      <c r="M62" s="2"/>
    </row>
    <row r="63" spans="2:13" x14ac:dyDescent="0.3">
      <c r="B63" s="2"/>
      <c r="C63" s="2"/>
      <c r="D63" s="2"/>
      <c r="J63" s="19"/>
      <c r="K63" s="2"/>
      <c r="L63" s="2"/>
      <c r="M63" s="2"/>
    </row>
    <row r="64" spans="2:13" x14ac:dyDescent="0.3">
      <c r="B64" s="2"/>
      <c r="C64" s="2"/>
      <c r="D64" s="2"/>
      <c r="J64" s="19"/>
      <c r="K64" s="2"/>
      <c r="L64" s="2"/>
      <c r="M64" s="2"/>
    </row>
    <row r="65" spans="2:13" x14ac:dyDescent="0.3">
      <c r="J65" s="19"/>
      <c r="K65" s="2"/>
      <c r="L65" s="2"/>
      <c r="M65" s="2"/>
    </row>
    <row r="66" spans="2:13" x14ac:dyDescent="0.3">
      <c r="B66" s="2"/>
      <c r="C66" s="2"/>
      <c r="D66" s="2"/>
      <c r="J66" s="19"/>
      <c r="K66" s="2"/>
      <c r="L66" s="2"/>
      <c r="M66" s="2"/>
    </row>
    <row r="67" spans="2:13" x14ac:dyDescent="0.3">
      <c r="B67" s="2"/>
      <c r="C67" s="2"/>
      <c r="D67" s="2"/>
      <c r="J67" s="19"/>
      <c r="K67" s="2"/>
      <c r="L67" s="2"/>
      <c r="M67" s="2"/>
    </row>
    <row r="68" spans="2:13" x14ac:dyDescent="0.3">
      <c r="B68" s="2"/>
      <c r="C68" s="2"/>
      <c r="D68" s="2"/>
      <c r="J68" s="19"/>
      <c r="K68" s="2"/>
      <c r="L68" s="2"/>
      <c r="M68" s="2"/>
    </row>
    <row r="69" spans="2:13" x14ac:dyDescent="0.3">
      <c r="B69" s="2"/>
      <c r="C69" s="2"/>
      <c r="D69" s="2"/>
      <c r="J69" s="19"/>
      <c r="K69" s="2"/>
      <c r="L69" s="2"/>
      <c r="M69" s="2"/>
    </row>
    <row r="70" spans="2:13" x14ac:dyDescent="0.3">
      <c r="B70" s="2"/>
      <c r="C70" s="2"/>
      <c r="D70" s="2"/>
      <c r="J70" s="19"/>
      <c r="K70" s="2"/>
      <c r="L70" s="2"/>
      <c r="M70" s="2"/>
    </row>
    <row r="71" spans="2:13" x14ac:dyDescent="0.3">
      <c r="B71" s="2"/>
      <c r="C71" s="2"/>
      <c r="D71" s="2"/>
      <c r="J71" s="19"/>
      <c r="K71" s="2"/>
      <c r="L71" s="2"/>
      <c r="M71" s="2"/>
    </row>
    <row r="72" spans="2:13" x14ac:dyDescent="0.3">
      <c r="B72" s="2"/>
      <c r="C72" s="2"/>
      <c r="D72" s="2"/>
      <c r="J72" s="19"/>
      <c r="K72" s="2"/>
      <c r="L72" s="2"/>
      <c r="M72" s="2"/>
    </row>
    <row r="73" spans="2:13" x14ac:dyDescent="0.3">
      <c r="B73" s="2"/>
      <c r="C73" s="2"/>
      <c r="D73" s="2"/>
      <c r="J73" s="19"/>
      <c r="K73" s="2"/>
      <c r="L73" s="2"/>
      <c r="M73" s="2"/>
    </row>
    <row r="74" spans="2:13" x14ac:dyDescent="0.3">
      <c r="B74" s="2"/>
      <c r="C74" s="2"/>
      <c r="D74" s="2"/>
      <c r="J74" s="19"/>
      <c r="K74" s="2"/>
      <c r="L74" s="2"/>
      <c r="M74" s="2"/>
    </row>
    <row r="75" spans="2:13" x14ac:dyDescent="0.3">
      <c r="B75" s="2"/>
      <c r="C75" s="2"/>
      <c r="D75" s="2"/>
      <c r="J75" s="19"/>
      <c r="K75" s="2"/>
      <c r="L75" s="2"/>
      <c r="M75" s="2"/>
    </row>
    <row r="76" spans="2:13" x14ac:dyDescent="0.3">
      <c r="B76" s="2"/>
      <c r="C76" s="2"/>
      <c r="D76" s="2"/>
      <c r="J76" s="19"/>
      <c r="K76" s="2"/>
      <c r="L76" s="2"/>
      <c r="M76" s="2"/>
    </row>
    <row r="77" spans="2:13" x14ac:dyDescent="0.3">
      <c r="B77" s="2"/>
      <c r="C77" s="2"/>
      <c r="D77" s="2"/>
      <c r="J77" s="19"/>
      <c r="K77" s="2"/>
      <c r="L77" s="2"/>
      <c r="M77" s="2"/>
    </row>
    <row r="78" spans="2:13" x14ac:dyDescent="0.3">
      <c r="B78" s="2"/>
      <c r="C78" s="2"/>
      <c r="D78" s="2"/>
      <c r="J78" s="19"/>
      <c r="K78" s="2"/>
      <c r="L78" s="2"/>
      <c r="M78" s="2"/>
    </row>
    <row r="79" spans="2:13" x14ac:dyDescent="0.3">
      <c r="B79" s="2"/>
      <c r="C79" s="2"/>
      <c r="D79" s="2"/>
      <c r="J79" s="19"/>
      <c r="K79" s="2"/>
      <c r="L79" s="2"/>
      <c r="M79" s="2"/>
    </row>
    <row r="80" spans="2:13" x14ac:dyDescent="0.3">
      <c r="B80" s="2"/>
      <c r="C80" s="2"/>
      <c r="D80" s="2"/>
      <c r="J80" s="19"/>
      <c r="K80" s="2"/>
      <c r="L80" s="2"/>
      <c r="M80" s="2"/>
    </row>
    <row r="81" spans="2:13" x14ac:dyDescent="0.3">
      <c r="B81" s="2"/>
      <c r="C81" s="2"/>
      <c r="D81" s="2"/>
      <c r="J81" s="19"/>
      <c r="K81" s="2"/>
      <c r="L81" s="2"/>
      <c r="M81" s="2"/>
    </row>
    <row r="82" spans="2:13" x14ac:dyDescent="0.3">
      <c r="B82" s="2"/>
      <c r="C82" s="2"/>
      <c r="D82" s="2"/>
      <c r="J82" s="19"/>
      <c r="K82" s="2"/>
      <c r="L82" s="2"/>
      <c r="M82" s="2"/>
    </row>
    <row r="83" spans="2:13" x14ac:dyDescent="0.3">
      <c r="B83" s="2"/>
      <c r="C83" s="2"/>
      <c r="D83" s="2"/>
      <c r="J83" s="19"/>
      <c r="K83" s="2"/>
      <c r="L83" s="2"/>
      <c r="M83" s="2"/>
    </row>
    <row r="84" spans="2:13" x14ac:dyDescent="0.3">
      <c r="B84" s="2"/>
      <c r="C84" s="2"/>
      <c r="D84" s="2"/>
      <c r="J84" s="19"/>
      <c r="K84" s="2"/>
      <c r="L84" s="2"/>
      <c r="M84" s="2"/>
    </row>
    <row r="85" spans="2:13" x14ac:dyDescent="0.3">
      <c r="B85" s="2"/>
      <c r="C85" s="2"/>
      <c r="D85" s="2"/>
      <c r="J85" s="19"/>
      <c r="K85" s="2"/>
      <c r="L85" s="2"/>
      <c r="M85" s="2"/>
    </row>
    <row r="86" spans="2:13" x14ac:dyDescent="0.3">
      <c r="B86" s="2"/>
      <c r="C86" s="2"/>
      <c r="D86" s="2"/>
      <c r="J86" s="19"/>
      <c r="K86" s="2"/>
      <c r="L86" s="2"/>
      <c r="M86" s="2"/>
    </row>
    <row r="87" spans="2:13" x14ac:dyDescent="0.3">
      <c r="B87" s="2"/>
      <c r="C87" s="2"/>
      <c r="D87" s="2"/>
      <c r="J87" s="19"/>
      <c r="K87" s="2"/>
      <c r="L87" s="2"/>
      <c r="M87" s="2"/>
    </row>
    <row r="88" spans="2:13" x14ac:dyDescent="0.3">
      <c r="B88" s="2"/>
      <c r="C88" s="2"/>
      <c r="D88" s="2"/>
      <c r="J88" s="19"/>
      <c r="K88" s="2"/>
      <c r="L88" s="2"/>
      <c r="M88" s="2"/>
    </row>
    <row r="89" spans="2:13" x14ac:dyDescent="0.3">
      <c r="B89" s="2"/>
      <c r="C89" s="2"/>
      <c r="D89" s="2"/>
      <c r="J89" s="19"/>
      <c r="K89" s="2"/>
      <c r="L89" s="2"/>
      <c r="M89" s="2"/>
    </row>
    <row r="90" spans="2:13" x14ac:dyDescent="0.3">
      <c r="B90" s="2"/>
      <c r="C90" s="2"/>
      <c r="D90" s="2"/>
      <c r="J90" s="19"/>
      <c r="K90" s="2"/>
      <c r="L90" s="2"/>
      <c r="M90" s="2"/>
    </row>
    <row r="91" spans="2:13" x14ac:dyDescent="0.3">
      <c r="B91" s="2"/>
      <c r="C91" s="2"/>
      <c r="D91" s="2"/>
      <c r="J91" s="19"/>
      <c r="K91" s="2"/>
      <c r="L91" s="2"/>
      <c r="M91" s="2"/>
    </row>
    <row r="92" spans="2:13" x14ac:dyDescent="0.3">
      <c r="B92" s="2"/>
      <c r="C92" s="2"/>
      <c r="D92" s="2"/>
      <c r="J92" s="19"/>
      <c r="K92" s="2"/>
      <c r="L92" s="2"/>
      <c r="M92" s="2"/>
    </row>
    <row r="93" spans="2:13" x14ac:dyDescent="0.3">
      <c r="B93" s="2"/>
      <c r="C93" s="2"/>
      <c r="D93" s="2"/>
      <c r="J93" s="19"/>
      <c r="K93" s="2"/>
      <c r="L93" s="2"/>
      <c r="M93" s="2"/>
    </row>
    <row r="94" spans="2:13" x14ac:dyDescent="0.3">
      <c r="B94" s="2"/>
      <c r="C94" s="2"/>
      <c r="D94" s="2"/>
      <c r="J94" s="19"/>
      <c r="K94" s="2"/>
      <c r="L94" s="2"/>
      <c r="M94" s="2"/>
    </row>
    <row r="95" spans="2:13" x14ac:dyDescent="0.3">
      <c r="B95" s="2"/>
      <c r="C95" s="2"/>
      <c r="D95" s="2"/>
      <c r="J95" s="19"/>
      <c r="K95" s="2"/>
      <c r="L95" s="2"/>
      <c r="M95" s="2"/>
    </row>
    <row r="96" spans="2:13" x14ac:dyDescent="0.3">
      <c r="B96" s="2"/>
      <c r="C96" s="2"/>
      <c r="D96" s="2"/>
      <c r="J96" s="19"/>
      <c r="K96" s="2"/>
      <c r="L96" s="2"/>
      <c r="M96" s="2"/>
    </row>
    <row r="97" spans="2:13" x14ac:dyDescent="0.3">
      <c r="B97" s="2"/>
      <c r="C97" s="2"/>
      <c r="D97" s="2"/>
      <c r="J97" s="19"/>
      <c r="K97" s="2"/>
      <c r="L97" s="2"/>
      <c r="M97" s="2"/>
    </row>
    <row r="98" spans="2:13" x14ac:dyDescent="0.3">
      <c r="B98" s="2"/>
      <c r="C98" s="2"/>
      <c r="D98" s="2"/>
      <c r="J98" s="19"/>
      <c r="K98" s="2"/>
      <c r="L98" s="2"/>
      <c r="M98" s="2"/>
    </row>
    <row r="99" spans="2:13" x14ac:dyDescent="0.3">
      <c r="B99" s="2"/>
      <c r="C99" s="2"/>
      <c r="D99" s="2"/>
      <c r="J99" s="19"/>
      <c r="K99" s="2"/>
      <c r="L99" s="2"/>
      <c r="M99" s="2"/>
    </row>
    <row r="100" spans="2:13" x14ac:dyDescent="0.3">
      <c r="B100" s="2"/>
      <c r="C100" s="2"/>
      <c r="D100" s="2"/>
      <c r="J100" s="19"/>
      <c r="K100" s="2"/>
      <c r="L100" s="2"/>
      <c r="M100" s="2"/>
    </row>
    <row r="101" spans="2:13" x14ac:dyDescent="0.3">
      <c r="B101" s="2"/>
      <c r="C101" s="2"/>
      <c r="D101" s="2"/>
      <c r="J101" s="19"/>
      <c r="K101" s="2"/>
      <c r="L101" s="2"/>
      <c r="M101" s="2"/>
    </row>
    <row r="102" spans="2:13" x14ac:dyDescent="0.3">
      <c r="B102" s="2"/>
      <c r="C102" s="2"/>
      <c r="D102" s="2"/>
      <c r="J102" s="19"/>
      <c r="K102" s="2"/>
      <c r="L102" s="2"/>
      <c r="M102" s="2"/>
    </row>
    <row r="103" spans="2:13" x14ac:dyDescent="0.3">
      <c r="B103" s="2"/>
      <c r="C103" s="2"/>
      <c r="D103" s="2"/>
      <c r="J103" s="19"/>
      <c r="K103" s="2"/>
      <c r="L103" s="2"/>
      <c r="M103" s="2"/>
    </row>
    <row r="104" spans="2:13" x14ac:dyDescent="0.3">
      <c r="B104" s="2"/>
      <c r="C104" s="2"/>
      <c r="D104" s="2"/>
      <c r="J104" s="19"/>
      <c r="K104" s="2"/>
      <c r="L104" s="2"/>
      <c r="M104" s="2"/>
    </row>
    <row r="105" spans="2:13" x14ac:dyDescent="0.3">
      <c r="B105" s="2"/>
      <c r="C105" s="2"/>
      <c r="D105" s="2"/>
      <c r="J105" s="19"/>
      <c r="K105" s="2"/>
      <c r="L105" s="2"/>
      <c r="M105" s="2"/>
    </row>
    <row r="106" spans="2:13" x14ac:dyDescent="0.3">
      <c r="B106" s="2"/>
      <c r="C106" s="2"/>
      <c r="D106" s="2"/>
      <c r="J106" s="19"/>
      <c r="K106" s="2"/>
      <c r="L106" s="2"/>
      <c r="M106" s="2"/>
    </row>
    <row r="107" spans="2:13" x14ac:dyDescent="0.3">
      <c r="B107" s="2"/>
      <c r="C107" s="2"/>
      <c r="D107" s="2"/>
      <c r="J107" s="19"/>
      <c r="K107" s="2"/>
      <c r="L107" s="2"/>
      <c r="M107" s="2"/>
    </row>
    <row r="108" spans="2:13" x14ac:dyDescent="0.3">
      <c r="B108" s="2"/>
      <c r="C108" s="2"/>
      <c r="D108" s="2"/>
      <c r="J108" s="19"/>
      <c r="K108" s="2"/>
      <c r="L108" s="2"/>
      <c r="M108" s="2"/>
    </row>
    <row r="109" spans="2:13" x14ac:dyDescent="0.3">
      <c r="B109" s="2"/>
      <c r="C109" s="2"/>
      <c r="D109" s="2"/>
      <c r="J109" s="19"/>
      <c r="K109" s="2"/>
      <c r="L109" s="2"/>
      <c r="M109" s="2"/>
    </row>
    <row r="110" spans="2:13" x14ac:dyDescent="0.3">
      <c r="B110" s="2"/>
      <c r="C110" s="2"/>
      <c r="D110" s="2"/>
      <c r="J110" s="19"/>
      <c r="K110" s="2"/>
      <c r="L110" s="2"/>
      <c r="M110" s="2"/>
    </row>
    <row r="111" spans="2:13" x14ac:dyDescent="0.3">
      <c r="B111" s="2"/>
      <c r="C111" s="2"/>
      <c r="D111" s="2"/>
      <c r="J111" s="19"/>
      <c r="K111" s="2"/>
      <c r="L111" s="2"/>
      <c r="M111" s="2"/>
    </row>
    <row r="112" spans="2:13" x14ac:dyDescent="0.3">
      <c r="B112" s="2"/>
      <c r="C112" s="2"/>
      <c r="D112" s="2"/>
      <c r="J112" s="19"/>
      <c r="K112" s="2"/>
      <c r="L112" s="2"/>
      <c r="M112" s="2"/>
    </row>
    <row r="113" spans="2:13" x14ac:dyDescent="0.3">
      <c r="B113" s="2"/>
      <c r="C113" s="2"/>
      <c r="D113" s="2"/>
      <c r="J113" s="19"/>
      <c r="K113" s="2"/>
      <c r="L113" s="2"/>
      <c r="M113" s="2"/>
    </row>
    <row r="114" spans="2:13" x14ac:dyDescent="0.3">
      <c r="B114" s="2"/>
      <c r="C114" s="2"/>
      <c r="D114" s="2"/>
      <c r="J114" s="19"/>
      <c r="K114" s="2"/>
      <c r="L114" s="2"/>
      <c r="M114" s="2"/>
    </row>
    <row r="115" spans="2:13" x14ac:dyDescent="0.3">
      <c r="B115" s="2"/>
      <c r="C115" s="2"/>
      <c r="D115" s="2"/>
      <c r="J115" s="19"/>
      <c r="K115" s="2"/>
      <c r="L115" s="2"/>
      <c r="M115" s="2"/>
    </row>
    <row r="116" spans="2:13" x14ac:dyDescent="0.3">
      <c r="B116" s="2"/>
      <c r="C116" s="2"/>
      <c r="D116" s="2"/>
      <c r="J116" s="19"/>
      <c r="K116" s="2"/>
      <c r="L116" s="2"/>
      <c r="M116" s="2"/>
    </row>
    <row r="117" spans="2:13" x14ac:dyDescent="0.3">
      <c r="B117" s="2"/>
      <c r="C117" s="2"/>
      <c r="D117" s="2"/>
      <c r="J117" s="19"/>
      <c r="K117" s="2"/>
      <c r="L117" s="2"/>
      <c r="M117" s="2"/>
    </row>
    <row r="118" spans="2:13" x14ac:dyDescent="0.3">
      <c r="B118" s="2"/>
      <c r="C118" s="2"/>
      <c r="D118" s="2"/>
      <c r="J118" s="19"/>
      <c r="K118" s="2"/>
      <c r="L118" s="2"/>
      <c r="M118" s="2"/>
    </row>
    <row r="119" spans="2:13" x14ac:dyDescent="0.3">
      <c r="B119" s="2"/>
      <c r="C119" s="2"/>
      <c r="D119" s="2"/>
      <c r="J119" s="19"/>
      <c r="K119" s="2"/>
      <c r="L119" s="2"/>
      <c r="M119" s="2"/>
    </row>
    <row r="120" spans="2:13" x14ac:dyDescent="0.3">
      <c r="B120" s="2"/>
      <c r="C120" s="2"/>
      <c r="D120" s="2"/>
      <c r="J120" s="19"/>
      <c r="K120" s="2"/>
      <c r="L120" s="2"/>
      <c r="M120" s="2"/>
    </row>
    <row r="121" spans="2:13" x14ac:dyDescent="0.3">
      <c r="B121" s="2"/>
      <c r="C121" s="2"/>
      <c r="D121" s="2"/>
      <c r="J121" s="19"/>
      <c r="K121" s="2"/>
      <c r="L121" s="2"/>
      <c r="M121" s="2"/>
    </row>
    <row r="122" spans="2:13" x14ac:dyDescent="0.3">
      <c r="B122" s="2"/>
      <c r="C122" s="2"/>
      <c r="D122" s="2"/>
      <c r="J122" s="19"/>
      <c r="K122" s="2"/>
      <c r="L122" s="2"/>
      <c r="M122" s="2"/>
    </row>
    <row r="123" spans="2:13" x14ac:dyDescent="0.3">
      <c r="B123" s="2"/>
      <c r="C123" s="2"/>
      <c r="D123" s="2"/>
      <c r="J123" s="19"/>
      <c r="K123" s="2"/>
      <c r="L123" s="2"/>
      <c r="M123" s="2"/>
    </row>
    <row r="124" spans="2:13" x14ac:dyDescent="0.3">
      <c r="B124" s="2"/>
      <c r="C124" s="2"/>
      <c r="D124" s="2"/>
      <c r="J124" s="19"/>
      <c r="K124" s="2"/>
      <c r="L124" s="2"/>
      <c r="M124" s="2"/>
    </row>
    <row r="125" spans="2:13" x14ac:dyDescent="0.3">
      <c r="B125" s="2"/>
      <c r="C125" s="2"/>
      <c r="D125" s="2"/>
      <c r="J125" s="19"/>
      <c r="K125" s="2"/>
      <c r="L125" s="2"/>
      <c r="M125" s="2"/>
    </row>
    <row r="126" spans="2:13" x14ac:dyDescent="0.3">
      <c r="B126" s="2"/>
      <c r="C126" s="2"/>
      <c r="D126" s="2"/>
      <c r="J126" s="19"/>
      <c r="K126" s="2"/>
      <c r="L126" s="2"/>
      <c r="M126" s="2"/>
    </row>
    <row r="127" spans="2:13" x14ac:dyDescent="0.3">
      <c r="B127" s="2"/>
      <c r="C127" s="2"/>
      <c r="D127" s="2"/>
      <c r="J127" s="19"/>
      <c r="K127" s="2"/>
      <c r="L127" s="2"/>
      <c r="M127" s="2"/>
    </row>
    <row r="128" spans="2:13" x14ac:dyDescent="0.3">
      <c r="J128" s="19"/>
      <c r="K128" s="2"/>
      <c r="L128" s="2"/>
      <c r="M128" s="2"/>
    </row>
    <row r="129" spans="2:13" x14ac:dyDescent="0.3">
      <c r="B129" s="2"/>
      <c r="C129" s="2"/>
      <c r="D129" s="2"/>
      <c r="J129" s="19"/>
      <c r="K129" s="2"/>
      <c r="L129" s="2"/>
      <c r="M129" s="2"/>
    </row>
    <row r="130" spans="2:13" x14ac:dyDescent="0.3">
      <c r="B130" s="2"/>
      <c r="C130" s="2"/>
      <c r="D130" s="2"/>
      <c r="J130" s="19"/>
      <c r="K130" s="2"/>
      <c r="L130" s="2"/>
      <c r="M130" s="2"/>
    </row>
    <row r="131" spans="2:13" x14ac:dyDescent="0.3">
      <c r="B131" s="2"/>
      <c r="C131" s="2"/>
      <c r="D131" s="2"/>
      <c r="J131" s="19"/>
      <c r="K131" s="2"/>
      <c r="L131" s="2"/>
      <c r="M131" s="2"/>
    </row>
    <row r="132" spans="2:13" x14ac:dyDescent="0.3">
      <c r="B132" s="2"/>
      <c r="C132" s="2"/>
      <c r="D132" s="2"/>
      <c r="J132" s="19"/>
      <c r="K132" s="2"/>
      <c r="L132" s="2"/>
      <c r="M132" s="2"/>
    </row>
    <row r="133" spans="2:13" x14ac:dyDescent="0.3">
      <c r="B133" s="2"/>
      <c r="C133" s="2"/>
      <c r="D133" s="2"/>
      <c r="J133" s="19"/>
      <c r="K133" s="2"/>
      <c r="L133" s="2"/>
      <c r="M133" s="2"/>
    </row>
    <row r="134" spans="2:13" x14ac:dyDescent="0.3">
      <c r="B134" s="2"/>
      <c r="C134" s="2"/>
      <c r="D134" s="2"/>
      <c r="J134" s="19"/>
      <c r="K134" s="2"/>
      <c r="L134" s="2"/>
      <c r="M134" s="2"/>
    </row>
    <row r="135" spans="2:13" x14ac:dyDescent="0.3">
      <c r="B135" s="2"/>
      <c r="C135" s="2"/>
      <c r="D135" s="2"/>
      <c r="J135" s="19"/>
      <c r="K135" s="2"/>
      <c r="L135" s="2"/>
      <c r="M135" s="2"/>
    </row>
    <row r="136" spans="2:13" x14ac:dyDescent="0.3">
      <c r="B136" s="2"/>
      <c r="C136" s="2"/>
      <c r="D136" s="2"/>
      <c r="J136" s="19"/>
      <c r="K136" s="2"/>
      <c r="L136" s="2"/>
      <c r="M136" s="2"/>
    </row>
    <row r="137" spans="2:13" x14ac:dyDescent="0.3">
      <c r="B137" s="2"/>
      <c r="C137" s="2"/>
      <c r="D137" s="2"/>
      <c r="J137" s="19"/>
      <c r="K137" s="2"/>
      <c r="L137" s="2"/>
      <c r="M137" s="2"/>
    </row>
    <row r="138" spans="2:13" x14ac:dyDescent="0.3">
      <c r="B138" s="2"/>
      <c r="C138" s="2"/>
      <c r="D138" s="2"/>
      <c r="J138" s="19"/>
      <c r="K138" s="2"/>
      <c r="L138" s="2"/>
      <c r="M138" s="2"/>
    </row>
    <row r="139" spans="2:13" x14ac:dyDescent="0.3">
      <c r="B139" s="2"/>
      <c r="C139" s="2"/>
      <c r="D139" s="2"/>
      <c r="J139" s="19"/>
      <c r="K139" s="2"/>
      <c r="L139" s="2"/>
      <c r="M139" s="2"/>
    </row>
    <row r="140" spans="2:13" x14ac:dyDescent="0.3">
      <c r="B140" s="2"/>
      <c r="C140" s="2"/>
      <c r="D140" s="2"/>
      <c r="J140" s="19"/>
      <c r="K140" s="2"/>
      <c r="L140" s="2"/>
      <c r="M140" s="2"/>
    </row>
    <row r="141" spans="2:13" x14ac:dyDescent="0.3">
      <c r="B141" s="2"/>
      <c r="C141" s="2"/>
      <c r="D141" s="2"/>
      <c r="J141" s="19"/>
      <c r="K141" s="2"/>
      <c r="L141" s="2"/>
      <c r="M141" s="2"/>
    </row>
    <row r="142" spans="2:13" x14ac:dyDescent="0.3">
      <c r="B142" s="2"/>
      <c r="C142" s="2"/>
      <c r="D142" s="2"/>
      <c r="J142" s="19"/>
      <c r="K142" s="2"/>
      <c r="L142" s="2"/>
      <c r="M142" s="2"/>
    </row>
    <row r="143" spans="2:13" x14ac:dyDescent="0.3">
      <c r="B143" s="2"/>
      <c r="C143" s="2"/>
      <c r="D143" s="2"/>
      <c r="J143" s="19"/>
      <c r="K143" s="2"/>
      <c r="L143" s="2"/>
      <c r="M143" s="2"/>
    </row>
    <row r="144" spans="2:13" x14ac:dyDescent="0.3">
      <c r="B144" s="2"/>
      <c r="C144" s="2"/>
      <c r="D144" s="2"/>
      <c r="J144" s="19"/>
      <c r="K144" s="2"/>
      <c r="L144" s="2"/>
      <c r="M144" s="2"/>
    </row>
    <row r="145" spans="2:13" x14ac:dyDescent="0.3">
      <c r="B145" s="2"/>
      <c r="C145" s="2"/>
      <c r="D145" s="2"/>
      <c r="J145" s="19"/>
      <c r="K145" s="2"/>
      <c r="L145" s="2"/>
      <c r="M145" s="2"/>
    </row>
    <row r="146" spans="2:13" x14ac:dyDescent="0.3">
      <c r="B146" s="2"/>
      <c r="C146" s="2"/>
      <c r="D146" s="2"/>
      <c r="J146" s="19"/>
      <c r="K146" s="2"/>
      <c r="L146" s="2"/>
      <c r="M146" s="2"/>
    </row>
    <row r="147" spans="2:13" x14ac:dyDescent="0.3">
      <c r="B147" s="2"/>
      <c r="C147" s="2"/>
      <c r="D147" s="2"/>
      <c r="J147" s="19"/>
      <c r="K147" s="2"/>
      <c r="L147" s="2"/>
      <c r="M147" s="2"/>
    </row>
    <row r="148" spans="2:13" x14ac:dyDescent="0.3">
      <c r="B148" s="2"/>
      <c r="C148" s="2"/>
      <c r="D148" s="2"/>
      <c r="J148" s="19"/>
      <c r="K148" s="2"/>
      <c r="L148" s="2"/>
      <c r="M148" s="2"/>
    </row>
    <row r="149" spans="2:13" x14ac:dyDescent="0.3">
      <c r="B149" s="2"/>
      <c r="C149" s="2"/>
      <c r="D149" s="2"/>
      <c r="J149" s="19"/>
      <c r="K149" s="2"/>
      <c r="L149" s="2"/>
      <c r="M149" s="2"/>
    </row>
    <row r="150" spans="2:13" x14ac:dyDescent="0.3">
      <c r="B150" s="2"/>
      <c r="C150" s="2"/>
      <c r="D150" s="2"/>
      <c r="J150" s="19"/>
      <c r="K150" s="2"/>
      <c r="L150" s="2"/>
      <c r="M150" s="2"/>
    </row>
    <row r="151" spans="2:13" x14ac:dyDescent="0.3">
      <c r="B151" s="2"/>
      <c r="C151" s="2"/>
      <c r="D151" s="2"/>
      <c r="J151" s="19"/>
      <c r="K151" s="2"/>
      <c r="L151" s="2"/>
      <c r="M151" s="2"/>
    </row>
    <row r="152" spans="2:13" x14ac:dyDescent="0.3">
      <c r="B152" s="2"/>
      <c r="C152" s="2"/>
      <c r="D152" s="2"/>
      <c r="J152" s="19"/>
      <c r="K152" s="2"/>
      <c r="L152" s="2"/>
      <c r="M152" s="2"/>
    </row>
    <row r="153" spans="2:13" x14ac:dyDescent="0.3">
      <c r="B153" s="2"/>
      <c r="C153" s="2"/>
      <c r="D153" s="2"/>
      <c r="J153" s="19"/>
      <c r="K153" s="2"/>
      <c r="L153" s="2"/>
      <c r="M153" s="2"/>
    </row>
    <row r="154" spans="2:13" x14ac:dyDescent="0.3">
      <c r="B154" s="2"/>
      <c r="C154" s="2"/>
      <c r="D154" s="2"/>
      <c r="J154" s="19"/>
      <c r="K154" s="2"/>
      <c r="L154" s="2"/>
      <c r="M154" s="2"/>
    </row>
    <row r="155" spans="2:13" x14ac:dyDescent="0.3">
      <c r="B155" s="2"/>
      <c r="C155" s="2"/>
      <c r="D155" s="2"/>
      <c r="J155" s="19"/>
      <c r="K155" s="2"/>
      <c r="L155" s="2"/>
      <c r="M155" s="2"/>
    </row>
    <row r="156" spans="2:13" x14ac:dyDescent="0.3">
      <c r="B156" s="2"/>
      <c r="C156" s="2"/>
      <c r="D156" s="2"/>
      <c r="J156" s="19"/>
      <c r="K156" s="2"/>
      <c r="L156" s="2"/>
      <c r="M156" s="2"/>
    </row>
    <row r="157" spans="2:13" x14ac:dyDescent="0.3">
      <c r="B157" s="2"/>
      <c r="C157" s="2"/>
      <c r="D157" s="2"/>
      <c r="J157" s="19"/>
      <c r="K157" s="2"/>
      <c r="L157" s="2"/>
      <c r="M157" s="2"/>
    </row>
    <row r="158" spans="2:13" x14ac:dyDescent="0.3">
      <c r="B158" s="2"/>
      <c r="C158" s="2"/>
      <c r="D158" s="2"/>
      <c r="J158" s="19"/>
      <c r="K158" s="2"/>
      <c r="L158" s="2"/>
      <c r="M158" s="2"/>
    </row>
    <row r="159" spans="2:13" x14ac:dyDescent="0.3">
      <c r="B159" s="2"/>
      <c r="C159" s="2"/>
      <c r="D159" s="2"/>
      <c r="J159" s="19"/>
      <c r="K159" s="2"/>
      <c r="L159" s="2"/>
      <c r="M159" s="2"/>
    </row>
    <row r="160" spans="2:13" x14ac:dyDescent="0.3">
      <c r="B160" s="2"/>
      <c r="C160" s="2"/>
      <c r="D160" s="2"/>
      <c r="J160" s="19"/>
      <c r="K160" s="2"/>
      <c r="L160" s="2"/>
      <c r="M160" s="2"/>
    </row>
    <row r="161" spans="2:13" x14ac:dyDescent="0.3">
      <c r="B161" s="2"/>
      <c r="C161" s="2"/>
      <c r="D161" s="2"/>
      <c r="J161" s="19"/>
      <c r="K161" s="2"/>
      <c r="L161" s="2"/>
      <c r="M161" s="2"/>
    </row>
    <row r="162" spans="2:13" x14ac:dyDescent="0.3">
      <c r="B162" s="2"/>
      <c r="C162" s="2"/>
      <c r="D162" s="2"/>
      <c r="J162" s="19"/>
      <c r="K162" s="2"/>
      <c r="L162" s="2"/>
      <c r="M162" s="2"/>
    </row>
    <row r="163" spans="2:13" x14ac:dyDescent="0.3">
      <c r="B163" s="2"/>
      <c r="C163" s="2"/>
      <c r="D163" s="2"/>
      <c r="J163" s="19"/>
      <c r="K163" s="2"/>
      <c r="L163" s="2"/>
      <c r="M163" s="2"/>
    </row>
    <row r="164" spans="2:13" x14ac:dyDescent="0.3">
      <c r="B164" s="2"/>
      <c r="C164" s="2"/>
      <c r="D164" s="2"/>
      <c r="J164" s="19"/>
      <c r="K164" s="2"/>
      <c r="L164" s="2"/>
      <c r="M164" s="2"/>
    </row>
    <row r="165" spans="2:13" x14ac:dyDescent="0.3">
      <c r="B165" s="2"/>
      <c r="C165" s="2"/>
      <c r="D165" s="2"/>
      <c r="J165" s="19"/>
      <c r="K165" s="2"/>
      <c r="L165" s="2"/>
      <c r="M165" s="2"/>
    </row>
    <row r="166" spans="2:13" x14ac:dyDescent="0.3">
      <c r="B166" s="2"/>
      <c r="C166" s="2"/>
      <c r="D166" s="2"/>
      <c r="J166" s="19"/>
      <c r="K166" s="2"/>
      <c r="L166" s="2"/>
      <c r="M166" s="2"/>
    </row>
    <row r="167" spans="2:13" x14ac:dyDescent="0.3">
      <c r="B167" s="2"/>
      <c r="C167" s="2"/>
      <c r="D167" s="2"/>
      <c r="J167" s="19"/>
      <c r="K167" s="2"/>
      <c r="L167" s="2"/>
      <c r="M167" s="2"/>
    </row>
    <row r="168" spans="2:13" x14ac:dyDescent="0.3">
      <c r="B168" s="2"/>
      <c r="C168" s="2"/>
      <c r="D168" s="2"/>
      <c r="J168" s="19"/>
      <c r="K168" s="2"/>
      <c r="L168" s="2"/>
      <c r="M168" s="2"/>
    </row>
    <row r="169" spans="2:13" x14ac:dyDescent="0.3">
      <c r="B169" s="2"/>
      <c r="C169" s="2"/>
      <c r="D169" s="2"/>
      <c r="J169" s="19"/>
      <c r="K169" s="2"/>
      <c r="L169" s="2"/>
      <c r="M169" s="2"/>
    </row>
    <row r="170" spans="2:13" x14ac:dyDescent="0.3">
      <c r="B170" s="2"/>
      <c r="C170" s="2"/>
      <c r="D170" s="2"/>
      <c r="J170" s="19"/>
      <c r="K170" s="2"/>
      <c r="L170" s="2"/>
      <c r="M170" s="2"/>
    </row>
    <row r="171" spans="2:13" x14ac:dyDescent="0.3">
      <c r="B171" s="2"/>
      <c r="C171" s="2"/>
      <c r="D171" s="2"/>
      <c r="J171" s="19"/>
      <c r="K171" s="2"/>
      <c r="L171" s="2"/>
      <c r="M171" s="2"/>
    </row>
    <row r="172" spans="2:13" x14ac:dyDescent="0.3">
      <c r="B172" s="2"/>
      <c r="C172" s="2"/>
      <c r="D172" s="2"/>
      <c r="J172" s="19"/>
      <c r="K172" s="2"/>
      <c r="L172" s="2"/>
      <c r="M172" s="2"/>
    </row>
    <row r="173" spans="2:13" x14ac:dyDescent="0.3">
      <c r="B173" s="2"/>
      <c r="C173" s="2"/>
      <c r="D173" s="2"/>
      <c r="J173" s="19"/>
      <c r="K173" s="2"/>
      <c r="L173" s="2"/>
      <c r="M173" s="2"/>
    </row>
    <row r="174" spans="2:13" x14ac:dyDescent="0.3">
      <c r="B174" s="2"/>
      <c r="C174" s="2"/>
      <c r="D174" s="2"/>
      <c r="J174" s="19"/>
      <c r="K174" s="2"/>
      <c r="L174" s="2"/>
      <c r="M174" s="2"/>
    </row>
    <row r="175" spans="2:13" x14ac:dyDescent="0.3">
      <c r="B175" s="2"/>
      <c r="C175" s="2"/>
      <c r="D175" s="2"/>
      <c r="J175" s="19"/>
      <c r="K175" s="2"/>
      <c r="L175" s="2"/>
      <c r="M175" s="2"/>
    </row>
    <row r="176" spans="2:13" x14ac:dyDescent="0.3">
      <c r="B176" s="2"/>
      <c r="C176" s="2"/>
      <c r="D176" s="2"/>
      <c r="J176" s="19"/>
      <c r="K176" s="2"/>
      <c r="L176" s="2"/>
      <c r="M176" s="2"/>
    </row>
    <row r="177" spans="2:13" x14ac:dyDescent="0.3">
      <c r="B177" s="2"/>
      <c r="C177" s="2"/>
      <c r="D177" s="2"/>
      <c r="J177" s="19"/>
      <c r="K177" s="2"/>
      <c r="L177" s="2"/>
      <c r="M177" s="2"/>
    </row>
    <row r="178" spans="2:13" x14ac:dyDescent="0.3">
      <c r="B178" s="2"/>
      <c r="C178" s="2"/>
      <c r="D178" s="2"/>
      <c r="J178" s="19"/>
      <c r="K178" s="2"/>
      <c r="L178" s="2"/>
      <c r="M178" s="2"/>
    </row>
    <row r="179" spans="2:13" x14ac:dyDescent="0.3">
      <c r="B179" s="2"/>
      <c r="C179" s="2"/>
      <c r="D179" s="2"/>
      <c r="J179" s="19"/>
      <c r="K179" s="2"/>
      <c r="L179" s="2"/>
      <c r="M179" s="2"/>
    </row>
    <row r="180" spans="2:13" x14ac:dyDescent="0.3">
      <c r="B180" s="2"/>
      <c r="C180" s="2"/>
      <c r="D180" s="2"/>
      <c r="J180" s="19"/>
      <c r="K180" s="2"/>
      <c r="L180" s="2"/>
      <c r="M180" s="2"/>
    </row>
    <row r="181" spans="2:13" x14ac:dyDescent="0.3">
      <c r="B181" s="2"/>
      <c r="C181" s="2"/>
      <c r="D181" s="2"/>
      <c r="J181" s="19"/>
      <c r="K181" s="2"/>
      <c r="L181" s="2"/>
      <c r="M181" s="2"/>
    </row>
    <row r="182" spans="2:13" x14ac:dyDescent="0.3">
      <c r="B182" s="2"/>
      <c r="C182" s="2"/>
      <c r="D182" s="2"/>
      <c r="J182" s="19"/>
      <c r="K182" s="2"/>
      <c r="L182" s="2"/>
      <c r="M182" s="2"/>
    </row>
    <row r="183" spans="2:13" x14ac:dyDescent="0.3">
      <c r="B183" s="2"/>
      <c r="C183" s="2"/>
      <c r="D183" s="2"/>
      <c r="J183" s="19"/>
      <c r="K183" s="2"/>
      <c r="L183" s="2"/>
      <c r="M183" s="2"/>
    </row>
    <row r="184" spans="2:13" x14ac:dyDescent="0.3">
      <c r="B184" s="2"/>
      <c r="C184" s="2"/>
      <c r="D184" s="2"/>
      <c r="J184" s="19"/>
      <c r="K184" s="2"/>
      <c r="L184" s="2"/>
      <c r="M184" s="2"/>
    </row>
    <row r="185" spans="2:13" x14ac:dyDescent="0.3">
      <c r="B185" s="2"/>
      <c r="C185" s="2"/>
      <c r="D185" s="2"/>
      <c r="J185" s="19"/>
      <c r="K185" s="2"/>
      <c r="L185" s="2"/>
      <c r="M185" s="2"/>
    </row>
    <row r="186" spans="2:13" x14ac:dyDescent="0.3">
      <c r="B186" s="2"/>
      <c r="C186" s="2"/>
      <c r="D186" s="2"/>
      <c r="J186" s="19"/>
      <c r="K186" s="2"/>
      <c r="L186" s="2"/>
      <c r="M186" s="2"/>
    </row>
    <row r="187" spans="2:13" x14ac:dyDescent="0.3">
      <c r="B187" s="2"/>
      <c r="C187" s="2"/>
      <c r="D187" s="2"/>
      <c r="J187" s="19"/>
      <c r="K187" s="2"/>
      <c r="L187" s="2"/>
      <c r="M187" s="2"/>
    </row>
    <row r="188" spans="2:13" x14ac:dyDescent="0.3">
      <c r="B188" s="2"/>
      <c r="C188" s="2"/>
      <c r="D188" s="2"/>
      <c r="J188" s="19"/>
      <c r="K188" s="2"/>
      <c r="L188" s="2"/>
      <c r="M188" s="2"/>
    </row>
    <row r="189" spans="2:13" x14ac:dyDescent="0.3">
      <c r="B189" s="2"/>
      <c r="C189" s="2"/>
      <c r="D189" s="2"/>
      <c r="J189" s="19"/>
      <c r="K189" s="2"/>
      <c r="L189" s="2"/>
      <c r="M189" s="2"/>
    </row>
    <row r="190" spans="2:13" x14ac:dyDescent="0.3">
      <c r="B190" s="2"/>
      <c r="C190" s="2"/>
      <c r="D190" s="2"/>
      <c r="J190" s="19"/>
      <c r="K190" s="2"/>
      <c r="L190" s="2"/>
      <c r="M190" s="2"/>
    </row>
    <row r="191" spans="2:13" x14ac:dyDescent="0.3">
      <c r="B191" s="2"/>
      <c r="C191" s="2"/>
      <c r="D191" s="2"/>
      <c r="J191" s="19"/>
      <c r="K191" s="2"/>
      <c r="L191" s="2"/>
      <c r="M191" s="2"/>
    </row>
    <row r="192" spans="2:13" x14ac:dyDescent="0.3">
      <c r="B192" s="2"/>
      <c r="C192" s="2"/>
      <c r="D192" s="2"/>
      <c r="J192" s="19"/>
      <c r="K192" s="2"/>
      <c r="L192" s="2"/>
      <c r="M192" s="2"/>
    </row>
    <row r="193" spans="2:13" x14ac:dyDescent="0.3">
      <c r="B193" s="2"/>
      <c r="C193" s="2"/>
      <c r="D193" s="2"/>
      <c r="J193" s="19"/>
      <c r="K193" s="2"/>
      <c r="L193" s="2"/>
      <c r="M193" s="2"/>
    </row>
    <row r="194" spans="2:13" x14ac:dyDescent="0.3">
      <c r="B194" s="2"/>
      <c r="C194" s="2"/>
      <c r="D194" s="2"/>
      <c r="J194" s="19"/>
      <c r="K194" s="2"/>
      <c r="L194" s="2"/>
      <c r="M194" s="2"/>
    </row>
    <row r="195" spans="2:13" x14ac:dyDescent="0.3">
      <c r="B195" s="2"/>
      <c r="C195" s="2"/>
      <c r="D195" s="2"/>
      <c r="J195" s="19"/>
      <c r="K195" s="2"/>
      <c r="L195" s="2"/>
      <c r="M195" s="2"/>
    </row>
    <row r="196" spans="2:13" x14ac:dyDescent="0.3">
      <c r="B196" s="2"/>
      <c r="C196" s="2"/>
      <c r="D196" s="2"/>
      <c r="J196" s="19"/>
      <c r="K196" s="2"/>
      <c r="L196" s="2"/>
      <c r="M196" s="2"/>
    </row>
    <row r="197" spans="2:13" x14ac:dyDescent="0.3">
      <c r="B197" s="2"/>
      <c r="C197" s="2"/>
      <c r="D197" s="2"/>
      <c r="J197" s="19"/>
      <c r="K197" s="2"/>
      <c r="L197" s="2"/>
      <c r="M197" s="2"/>
    </row>
    <row r="198" spans="2:13" x14ac:dyDescent="0.3">
      <c r="B198" s="2"/>
      <c r="C198" s="2"/>
      <c r="D198" s="2"/>
      <c r="J198" s="19"/>
      <c r="K198" s="2"/>
      <c r="L198" s="2"/>
      <c r="M198" s="2"/>
    </row>
    <row r="199" spans="2:13" x14ac:dyDescent="0.3">
      <c r="B199" s="2"/>
      <c r="C199" s="2"/>
      <c r="D199" s="2"/>
      <c r="J199" s="19"/>
      <c r="K199" s="2"/>
      <c r="L199" s="2"/>
      <c r="M199" s="2"/>
    </row>
    <row r="200" spans="2:13" x14ac:dyDescent="0.3">
      <c r="B200" s="2"/>
      <c r="C200" s="2"/>
      <c r="D200" s="2"/>
      <c r="J200" s="19"/>
      <c r="K200" s="2"/>
      <c r="L200" s="2"/>
      <c r="M200" s="2"/>
    </row>
    <row r="201" spans="2:13" x14ac:dyDescent="0.3">
      <c r="B201" s="2"/>
      <c r="C201" s="2"/>
      <c r="D201" s="2"/>
      <c r="J201" s="19"/>
      <c r="K201" s="2"/>
      <c r="L201" s="2"/>
      <c r="M201" s="2"/>
    </row>
    <row r="202" spans="2:13" x14ac:dyDescent="0.3">
      <c r="B202" s="2"/>
      <c r="C202" s="2"/>
      <c r="D202" s="2"/>
      <c r="J202" s="19"/>
      <c r="K202" s="2"/>
      <c r="L202" s="2"/>
      <c r="M202" s="2"/>
    </row>
    <row r="203" spans="2:13" x14ac:dyDescent="0.3">
      <c r="B203" s="2"/>
      <c r="C203" s="2"/>
      <c r="D203" s="2"/>
      <c r="J203" s="19"/>
      <c r="K203" s="2"/>
      <c r="L203" s="2"/>
      <c r="M203" s="2"/>
    </row>
    <row r="204" spans="2:13" x14ac:dyDescent="0.3">
      <c r="B204" s="2"/>
      <c r="C204" s="2"/>
      <c r="D204" s="2"/>
      <c r="J204" s="19"/>
      <c r="K204" s="2"/>
      <c r="L204" s="2"/>
      <c r="M204" s="2"/>
    </row>
    <row r="205" spans="2:13" x14ac:dyDescent="0.3">
      <c r="B205" s="2"/>
      <c r="C205" s="2"/>
      <c r="D205" s="2"/>
      <c r="J205" s="19"/>
      <c r="K205" s="2"/>
      <c r="L205" s="2"/>
      <c r="M205" s="2"/>
    </row>
    <row r="206" spans="2:13" x14ac:dyDescent="0.3">
      <c r="B206" s="2"/>
      <c r="C206" s="2"/>
      <c r="D206" s="2"/>
      <c r="J206" s="19"/>
      <c r="K206" s="2"/>
      <c r="L206" s="2"/>
      <c r="M206" s="2"/>
    </row>
    <row r="207" spans="2:13" x14ac:dyDescent="0.3">
      <c r="B207" s="2"/>
      <c r="C207" s="2"/>
      <c r="D207" s="2"/>
      <c r="J207" s="19"/>
      <c r="K207" s="2"/>
      <c r="L207" s="2"/>
      <c r="M207" s="2"/>
    </row>
    <row r="208" spans="2:13" x14ac:dyDescent="0.3">
      <c r="B208" s="2"/>
      <c r="C208" s="2"/>
      <c r="D208" s="2"/>
      <c r="J208" s="19"/>
      <c r="K208" s="2"/>
      <c r="L208" s="2"/>
      <c r="M208" s="2"/>
    </row>
    <row r="209" spans="2:13" x14ac:dyDescent="0.3">
      <c r="B209" s="2"/>
      <c r="C209" s="2"/>
      <c r="D209" s="2"/>
      <c r="J209" s="19"/>
      <c r="K209" s="2"/>
      <c r="L209" s="2"/>
      <c r="M209" s="2"/>
    </row>
    <row r="210" spans="2:13" x14ac:dyDescent="0.3">
      <c r="B210" s="2"/>
      <c r="C210" s="2"/>
      <c r="D210" s="2"/>
      <c r="J210" s="19"/>
      <c r="K210" s="2"/>
      <c r="L210" s="2"/>
      <c r="M210" s="2"/>
    </row>
    <row r="211" spans="2:13" x14ac:dyDescent="0.3">
      <c r="B211" s="2"/>
      <c r="C211" s="2"/>
      <c r="D211" s="2"/>
      <c r="J211" s="19"/>
      <c r="K211" s="2"/>
      <c r="L211" s="2"/>
      <c r="M211" s="2"/>
    </row>
    <row r="212" spans="2:13" x14ac:dyDescent="0.3">
      <c r="B212" s="2"/>
      <c r="C212" s="2"/>
      <c r="D212" s="2"/>
      <c r="J212" s="19"/>
      <c r="K212" s="2"/>
      <c r="L212" s="2"/>
      <c r="M212" s="2"/>
    </row>
    <row r="213" spans="2:13" x14ac:dyDescent="0.3">
      <c r="B213" s="2"/>
      <c r="C213" s="2"/>
      <c r="D213" s="2"/>
      <c r="J213" s="19"/>
      <c r="K213" s="2"/>
      <c r="L213" s="2"/>
      <c r="M213" s="2"/>
    </row>
    <row r="214" spans="2:13" x14ac:dyDescent="0.3">
      <c r="B214" s="2"/>
      <c r="C214" s="2"/>
      <c r="D214" s="2"/>
      <c r="J214" s="19"/>
      <c r="K214" s="2"/>
      <c r="L214" s="2"/>
      <c r="M214" s="2"/>
    </row>
    <row r="215" spans="2:13" x14ac:dyDescent="0.3">
      <c r="B215" s="2"/>
      <c r="C215" s="2"/>
      <c r="D215" s="2"/>
      <c r="J215" s="19"/>
      <c r="K215" s="2"/>
      <c r="L215" s="2"/>
      <c r="M215" s="2"/>
    </row>
    <row r="216" spans="2:13" x14ac:dyDescent="0.3">
      <c r="B216" s="2"/>
      <c r="C216" s="2"/>
      <c r="D216" s="2"/>
      <c r="J216" s="19"/>
      <c r="K216" s="2"/>
      <c r="L216" s="2"/>
      <c r="M216" s="2"/>
    </row>
    <row r="217" spans="2:13" x14ac:dyDescent="0.3">
      <c r="B217" s="2"/>
      <c r="C217" s="2"/>
      <c r="D217" s="2"/>
      <c r="J217" s="19"/>
      <c r="K217" s="2"/>
      <c r="L217" s="2"/>
      <c r="M217" s="2"/>
    </row>
    <row r="218" spans="2:13" x14ac:dyDescent="0.3">
      <c r="B218" s="2"/>
      <c r="C218" s="2"/>
      <c r="D218" s="2"/>
      <c r="J218" s="19"/>
      <c r="K218" s="2"/>
      <c r="L218" s="2"/>
      <c r="M218" s="2"/>
    </row>
    <row r="219" spans="2:13" x14ac:dyDescent="0.3">
      <c r="B219" s="2"/>
      <c r="C219" s="2"/>
      <c r="D219" s="2"/>
      <c r="J219" s="19"/>
      <c r="K219" s="2"/>
      <c r="L219" s="2"/>
      <c r="M219" s="2"/>
    </row>
    <row r="220" spans="2:13" x14ac:dyDescent="0.3">
      <c r="B220" s="2"/>
      <c r="C220" s="2"/>
      <c r="D220" s="2"/>
      <c r="J220" s="19"/>
      <c r="K220" s="2"/>
      <c r="L220" s="2"/>
      <c r="M220" s="2"/>
    </row>
    <row r="221" spans="2:13" x14ac:dyDescent="0.3">
      <c r="B221" s="2"/>
      <c r="C221" s="2"/>
      <c r="D221" s="2"/>
      <c r="J221" s="19"/>
      <c r="K221" s="2"/>
      <c r="L221" s="2"/>
      <c r="M221" s="2"/>
    </row>
    <row r="222" spans="2:13" x14ac:dyDescent="0.3">
      <c r="B222" s="2"/>
      <c r="C222" s="2"/>
      <c r="D222" s="2"/>
      <c r="J222" s="19"/>
      <c r="K222" s="2"/>
      <c r="L222" s="2"/>
      <c r="M222" s="2"/>
    </row>
    <row r="223" spans="2:13" x14ac:dyDescent="0.3">
      <c r="B223" s="2"/>
      <c r="C223" s="2"/>
      <c r="D223" s="2"/>
      <c r="J223" s="19"/>
      <c r="K223" s="2"/>
      <c r="L223" s="2"/>
      <c r="M223" s="2"/>
    </row>
    <row r="224" spans="2:13" x14ac:dyDescent="0.3">
      <c r="B224" s="2"/>
      <c r="C224" s="2"/>
      <c r="D224" s="2"/>
      <c r="J224" s="19"/>
      <c r="K224" s="2"/>
      <c r="L224" s="2"/>
      <c r="M224" s="2"/>
    </row>
    <row r="225" spans="2:13" x14ac:dyDescent="0.3">
      <c r="B225" s="2"/>
      <c r="C225" s="2"/>
      <c r="D225" s="2"/>
      <c r="J225" s="19"/>
      <c r="K225" s="2"/>
      <c r="L225" s="2"/>
      <c r="M225" s="2"/>
    </row>
    <row r="226" spans="2:13" x14ac:dyDescent="0.3">
      <c r="B226" s="2"/>
      <c r="C226" s="2"/>
      <c r="D226" s="2"/>
      <c r="J226" s="19"/>
      <c r="K226" s="2"/>
      <c r="L226" s="2"/>
      <c r="M226" s="2"/>
    </row>
    <row r="227" spans="2:13" x14ac:dyDescent="0.3">
      <c r="B227" s="2"/>
      <c r="C227" s="2"/>
      <c r="D227" s="2"/>
      <c r="J227" s="19"/>
      <c r="K227" s="2"/>
      <c r="L227" s="2"/>
      <c r="M227" s="2"/>
    </row>
    <row r="228" spans="2:13" x14ac:dyDescent="0.3">
      <c r="B228" s="2"/>
      <c r="C228" s="2"/>
      <c r="D228" s="2"/>
      <c r="J228" s="19"/>
      <c r="K228" s="2"/>
      <c r="L228" s="2"/>
      <c r="M228" s="2"/>
    </row>
    <row r="229" spans="2:13" x14ac:dyDescent="0.3">
      <c r="B229" s="2"/>
      <c r="C229" s="2"/>
      <c r="D229" s="2"/>
      <c r="J229" s="19"/>
      <c r="K229" s="2"/>
      <c r="L229" s="2"/>
      <c r="M229" s="2"/>
    </row>
    <row r="230" spans="2:13" x14ac:dyDescent="0.3">
      <c r="B230" s="2"/>
      <c r="C230" s="2"/>
      <c r="D230" s="2"/>
      <c r="J230" s="19"/>
      <c r="K230" s="2"/>
      <c r="L230" s="2"/>
      <c r="M230" s="2"/>
    </row>
    <row r="231" spans="2:13" x14ac:dyDescent="0.3">
      <c r="B231" s="2"/>
      <c r="C231" s="2"/>
      <c r="D231" s="2"/>
      <c r="J231" s="19"/>
      <c r="K231" s="2"/>
      <c r="L231" s="2"/>
      <c r="M231" s="2"/>
    </row>
    <row r="232" spans="2:13" x14ac:dyDescent="0.3">
      <c r="B232" s="2"/>
      <c r="C232" s="2"/>
      <c r="D232" s="2"/>
      <c r="J232" s="19"/>
      <c r="K232" s="2"/>
      <c r="L232" s="2"/>
      <c r="M232" s="2"/>
    </row>
    <row r="233" spans="2:13" x14ac:dyDescent="0.3">
      <c r="B233" s="2"/>
      <c r="C233" s="2"/>
      <c r="D233" s="2"/>
      <c r="J233" s="19"/>
      <c r="K233" s="2"/>
      <c r="L233" s="2"/>
      <c r="M233" s="2"/>
    </row>
    <row r="234" spans="2:13" x14ac:dyDescent="0.3">
      <c r="B234" s="2"/>
      <c r="C234" s="2"/>
      <c r="D234" s="2"/>
      <c r="J234" s="19"/>
      <c r="K234" s="2"/>
      <c r="L234" s="2"/>
      <c r="M234" s="2"/>
    </row>
    <row r="235" spans="2:13" x14ac:dyDescent="0.3">
      <c r="B235" s="2"/>
      <c r="C235" s="2"/>
      <c r="D235" s="2"/>
      <c r="J235" s="19"/>
      <c r="K235" s="2"/>
      <c r="L235" s="2"/>
      <c r="M235" s="2"/>
    </row>
    <row r="236" spans="2:13" x14ac:dyDescent="0.3">
      <c r="B236" s="2"/>
      <c r="C236" s="2"/>
      <c r="D236" s="2"/>
      <c r="J236" s="19"/>
      <c r="K236" s="2"/>
      <c r="L236" s="2"/>
      <c r="M236" s="2"/>
    </row>
    <row r="237" spans="2:13" x14ac:dyDescent="0.3">
      <c r="B237" s="2"/>
      <c r="C237" s="2"/>
      <c r="D237" s="2"/>
      <c r="J237" s="19"/>
      <c r="K237" s="2"/>
      <c r="L237" s="2"/>
      <c r="M237" s="2"/>
    </row>
    <row r="238" spans="2:13" x14ac:dyDescent="0.3">
      <c r="B238" s="2"/>
      <c r="C238" s="2"/>
      <c r="D238" s="2"/>
      <c r="J238" s="19"/>
      <c r="K238" s="2"/>
      <c r="L238" s="2"/>
      <c r="M238" s="2"/>
    </row>
    <row r="239" spans="2:13" x14ac:dyDescent="0.3">
      <c r="B239" s="2"/>
      <c r="C239" s="2"/>
      <c r="D239" s="2"/>
      <c r="J239" s="19"/>
      <c r="K239" s="2"/>
      <c r="L239" s="2"/>
      <c r="M239" s="2"/>
    </row>
    <row r="240" spans="2:13" x14ac:dyDescent="0.3">
      <c r="B240" s="2"/>
      <c r="C240" s="2"/>
      <c r="D240" s="2"/>
      <c r="J240" s="19"/>
      <c r="K240" s="2"/>
      <c r="L240" s="2"/>
      <c r="M240" s="2"/>
    </row>
    <row r="241" spans="2:13" x14ac:dyDescent="0.3">
      <c r="B241" s="2"/>
      <c r="C241" s="2"/>
      <c r="D241" s="2"/>
      <c r="J241" s="19"/>
      <c r="K241" s="2"/>
      <c r="L241" s="2"/>
      <c r="M241" s="2"/>
    </row>
    <row r="242" spans="2:13" x14ac:dyDescent="0.3">
      <c r="B242" s="2"/>
      <c r="C242" s="2"/>
      <c r="D242" s="2"/>
      <c r="J242" s="19"/>
      <c r="K242" s="2"/>
      <c r="L242" s="2"/>
      <c r="M242" s="2"/>
    </row>
    <row r="243" spans="2:13" x14ac:dyDescent="0.3">
      <c r="B243" s="2"/>
      <c r="C243" s="2"/>
      <c r="D243" s="2"/>
      <c r="J243" s="19"/>
      <c r="K243" s="2"/>
      <c r="L243" s="2"/>
      <c r="M243" s="2"/>
    </row>
    <row r="244" spans="2:13" x14ac:dyDescent="0.3">
      <c r="B244" s="2"/>
      <c r="C244" s="2"/>
      <c r="D244" s="2"/>
      <c r="J244" s="19"/>
      <c r="K244" s="2"/>
      <c r="L244" s="2"/>
      <c r="M244" s="2"/>
    </row>
    <row r="245" spans="2:13" x14ac:dyDescent="0.3">
      <c r="B245" s="2"/>
      <c r="C245" s="2"/>
      <c r="D245" s="2"/>
      <c r="J245" s="19"/>
      <c r="K245" s="2"/>
      <c r="L245" s="2"/>
      <c r="M245" s="2"/>
    </row>
    <row r="246" spans="2:13" x14ac:dyDescent="0.3">
      <c r="B246" s="2"/>
      <c r="C246" s="2"/>
      <c r="D246" s="2"/>
      <c r="J246" s="19"/>
      <c r="K246" s="2"/>
      <c r="L246" s="2"/>
      <c r="M246" s="2"/>
    </row>
    <row r="247" spans="2:13" x14ac:dyDescent="0.3">
      <c r="B247" s="2"/>
      <c r="C247" s="2"/>
      <c r="D247" s="2"/>
      <c r="J247" s="19"/>
      <c r="K247" s="2"/>
      <c r="L247" s="2"/>
      <c r="M247" s="2"/>
    </row>
    <row r="248" spans="2:13" x14ac:dyDescent="0.3">
      <c r="B248" s="2"/>
      <c r="C248" s="2"/>
      <c r="D248" s="2"/>
      <c r="J248" s="19"/>
      <c r="K248" s="2"/>
      <c r="L248" s="2"/>
      <c r="M248" s="2"/>
    </row>
    <row r="249" spans="2:13" x14ac:dyDescent="0.3">
      <c r="B249" s="2"/>
      <c r="C249" s="2"/>
      <c r="D249" s="2"/>
      <c r="J249" s="19"/>
      <c r="K249" s="2"/>
      <c r="L249" s="2"/>
      <c r="M249" s="2"/>
    </row>
    <row r="250" spans="2:13" x14ac:dyDescent="0.3">
      <c r="B250" s="2"/>
      <c r="C250" s="2"/>
      <c r="D250" s="2"/>
      <c r="J250" s="19"/>
      <c r="K250" s="2"/>
      <c r="L250" s="2"/>
      <c r="M250" s="2"/>
    </row>
    <row r="251" spans="2:13" x14ac:dyDescent="0.3">
      <c r="B251" s="2"/>
      <c r="C251" s="2"/>
      <c r="D251" s="2"/>
      <c r="J251" s="19"/>
      <c r="K251" s="2"/>
      <c r="L251" s="2"/>
      <c r="M251" s="2"/>
    </row>
    <row r="252" spans="2:13" x14ac:dyDescent="0.3">
      <c r="B252" s="2"/>
      <c r="C252" s="2"/>
      <c r="D252" s="2"/>
      <c r="J252" s="19"/>
      <c r="K252" s="2"/>
      <c r="L252" s="2"/>
      <c r="M252" s="2"/>
    </row>
    <row r="253" spans="2:13" x14ac:dyDescent="0.3">
      <c r="B253" s="2"/>
      <c r="C253" s="2"/>
      <c r="D253" s="2"/>
      <c r="J253" s="19"/>
      <c r="K253" s="2"/>
      <c r="L253" s="2"/>
      <c r="M253" s="2"/>
    </row>
    <row r="254" spans="2:13" x14ac:dyDescent="0.3">
      <c r="B254" s="2"/>
      <c r="C254" s="2"/>
      <c r="D254" s="2"/>
      <c r="J254" s="19"/>
      <c r="K254" s="2"/>
      <c r="L254" s="2"/>
      <c r="M254" s="2"/>
    </row>
    <row r="255" spans="2:13" x14ac:dyDescent="0.3">
      <c r="B255" s="2"/>
      <c r="C255" s="2"/>
      <c r="D255" s="2"/>
      <c r="J255" s="19"/>
      <c r="K255" s="2"/>
      <c r="L255" s="2"/>
      <c r="M255" s="2"/>
    </row>
    <row r="256" spans="2:13" x14ac:dyDescent="0.3">
      <c r="B256" s="2"/>
      <c r="C256" s="2"/>
      <c r="D256" s="2"/>
      <c r="J256" s="19"/>
      <c r="K256" s="2"/>
      <c r="L256" s="2"/>
      <c r="M256" s="2"/>
    </row>
    <row r="257" spans="2:13" x14ac:dyDescent="0.3">
      <c r="B257" s="2"/>
      <c r="C257" s="2"/>
      <c r="D257" s="2"/>
      <c r="J257" s="19"/>
      <c r="K257" s="2"/>
      <c r="L257" s="2"/>
      <c r="M257" s="2"/>
    </row>
    <row r="258" spans="2:13" x14ac:dyDescent="0.3">
      <c r="B258" s="2"/>
      <c r="C258" s="2"/>
      <c r="D258" s="2"/>
      <c r="J258" s="19"/>
      <c r="K258" s="2"/>
      <c r="L258" s="2"/>
      <c r="M258" s="2"/>
    </row>
    <row r="259" spans="2:13" x14ac:dyDescent="0.3">
      <c r="B259" s="2"/>
      <c r="C259" s="2"/>
      <c r="D259" s="2"/>
      <c r="J259" s="19"/>
      <c r="K259" s="2"/>
      <c r="L259" s="2"/>
      <c r="M259" s="2"/>
    </row>
    <row r="260" spans="2:13" x14ac:dyDescent="0.3">
      <c r="B260" s="2"/>
      <c r="C260" s="2"/>
      <c r="D260" s="2"/>
      <c r="J260" s="19"/>
      <c r="K260" s="2"/>
      <c r="L260" s="2"/>
      <c r="M260" s="2"/>
    </row>
    <row r="261" spans="2:13" x14ac:dyDescent="0.3">
      <c r="B261" s="2"/>
      <c r="C261" s="2"/>
      <c r="D261" s="2"/>
      <c r="J261" s="19"/>
      <c r="K261" s="2"/>
      <c r="L261" s="2"/>
      <c r="M261" s="2"/>
    </row>
    <row r="262" spans="2:13" x14ac:dyDescent="0.3">
      <c r="B262" s="2"/>
      <c r="C262" s="2"/>
      <c r="D262" s="2"/>
      <c r="J262" s="19"/>
      <c r="K262" s="2"/>
      <c r="L262" s="2"/>
      <c r="M262" s="2"/>
    </row>
    <row r="263" spans="2:13" x14ac:dyDescent="0.3">
      <c r="B263" s="2"/>
      <c r="C263" s="2"/>
      <c r="D263" s="2"/>
      <c r="J263" s="19"/>
      <c r="K263" s="2"/>
      <c r="L263" s="2"/>
      <c r="M263" s="2"/>
    </row>
    <row r="264" spans="2:13" x14ac:dyDescent="0.3">
      <c r="B264" s="2"/>
      <c r="C264" s="2"/>
      <c r="D264" s="2"/>
      <c r="J264" s="19"/>
      <c r="K264" s="2"/>
      <c r="L264" s="2"/>
      <c r="M264" s="2"/>
    </row>
    <row r="265" spans="2:13" x14ac:dyDescent="0.3">
      <c r="B265" s="2"/>
      <c r="C265" s="2"/>
      <c r="D265" s="2"/>
      <c r="J265" s="19"/>
      <c r="K265" s="2"/>
      <c r="L265" s="2"/>
      <c r="M265" s="2"/>
    </row>
    <row r="266" spans="2:13" x14ac:dyDescent="0.3">
      <c r="B266" s="2"/>
      <c r="C266" s="2"/>
      <c r="D266" s="2"/>
      <c r="J266" s="19"/>
      <c r="K266" s="2"/>
      <c r="L266" s="2"/>
      <c r="M266" s="2"/>
    </row>
    <row r="267" spans="2:13" x14ac:dyDescent="0.3">
      <c r="B267" s="2"/>
      <c r="C267" s="2"/>
      <c r="D267" s="2"/>
      <c r="J267" s="19"/>
      <c r="K267" s="2"/>
      <c r="L267" s="2"/>
      <c r="M267" s="2"/>
    </row>
    <row r="268" spans="2:13" x14ac:dyDescent="0.3">
      <c r="B268" s="2"/>
      <c r="C268" s="2"/>
      <c r="D268" s="2"/>
      <c r="J268" s="19"/>
      <c r="K268" s="2"/>
      <c r="L268" s="2"/>
      <c r="M268" s="2"/>
    </row>
    <row r="269" spans="2:13" x14ac:dyDescent="0.3">
      <c r="B269" s="2"/>
      <c r="C269" s="2"/>
      <c r="D269" s="2"/>
    </row>
    <row r="270" spans="2:13" x14ac:dyDescent="0.3">
      <c r="B270" s="2"/>
      <c r="C270" s="2"/>
      <c r="D270" s="2"/>
    </row>
    <row r="271" spans="2:13" x14ac:dyDescent="0.3">
      <c r="B271" s="2"/>
      <c r="C271" s="2"/>
      <c r="D271" s="2"/>
    </row>
    <row r="272" spans="2:13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</sheetData>
  <autoFilter ref="A1:D1" xr:uid="{41FC3B29-A3DB-4066-8CA0-807763CC7D7B}">
    <sortState ref="A2:D309">
      <sortCondition ref="A1"/>
    </sortState>
  </autoFilter>
  <sortState ref="I2:I20">
    <sortCondition ref="I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3EC3-0C74-481E-A039-0333F13D51FB}">
  <dimension ref="B2:I15"/>
  <sheetViews>
    <sheetView tabSelected="1" workbookViewId="0">
      <selection activeCell="F15" sqref="F15"/>
    </sheetView>
  </sheetViews>
  <sheetFormatPr baseColWidth="10" defaultRowHeight="14.4" x14ac:dyDescent="0.3"/>
  <cols>
    <col min="2" max="2" width="6.33203125" bestFit="1" customWidth="1"/>
    <col min="3" max="3" width="14.44140625" bestFit="1" customWidth="1"/>
    <col min="4" max="4" width="11.77734375" bestFit="1" customWidth="1"/>
    <col min="5" max="5" width="12.77734375" bestFit="1" customWidth="1"/>
    <col min="6" max="6" width="16.88671875" bestFit="1" customWidth="1"/>
    <col min="7" max="7" width="13.88671875" bestFit="1" customWidth="1"/>
    <col min="8" max="8" width="11.77734375" bestFit="1" customWidth="1"/>
    <col min="9" max="11" width="12.77734375" bestFit="1" customWidth="1"/>
  </cols>
  <sheetData>
    <row r="2" spans="2:9" x14ac:dyDescent="0.3">
      <c r="C2" s="11" t="s">
        <v>12</v>
      </c>
      <c r="D2" s="11" t="s">
        <v>14</v>
      </c>
      <c r="E2" s="11" t="s">
        <v>8</v>
      </c>
      <c r="F2" s="11" t="s">
        <v>13</v>
      </c>
    </row>
    <row r="3" spans="2:9" x14ac:dyDescent="0.3">
      <c r="B3" s="1" t="s">
        <v>4</v>
      </c>
      <c r="C3" s="2">
        <f>Gestión!G2</f>
        <v>10487.94</v>
      </c>
      <c r="D3" s="2">
        <f>Base!G2</f>
        <v>30879.62</v>
      </c>
      <c r="E3" s="3">
        <f>Choque!G2</f>
        <v>0</v>
      </c>
      <c r="F3" s="14">
        <f>D3+C3+E3</f>
        <v>41367.56</v>
      </c>
    </row>
    <row r="4" spans="2:9" x14ac:dyDescent="0.3">
      <c r="B4" s="1" t="s">
        <v>5</v>
      </c>
      <c r="C4" s="2">
        <f>Gestión!G3</f>
        <v>19293.5</v>
      </c>
      <c r="D4" s="2">
        <f>Base!G3</f>
        <v>48755.5</v>
      </c>
      <c r="E4" s="3">
        <f>Choque!G3</f>
        <v>0</v>
      </c>
      <c r="F4" s="13">
        <f>D4+C4+E4</f>
        <v>68049</v>
      </c>
    </row>
    <row r="5" spans="2:9" x14ac:dyDescent="0.3">
      <c r="B5" s="1" t="s">
        <v>11</v>
      </c>
      <c r="C5" s="2">
        <f>Gestión!G5</f>
        <v>29781.440000000002</v>
      </c>
      <c r="D5" s="2">
        <f>Base!G5</f>
        <v>79635.12</v>
      </c>
      <c r="E5" s="3">
        <f>E4+E3</f>
        <v>0</v>
      </c>
      <c r="F5" s="12">
        <f>F4+F3</f>
        <v>109416.56</v>
      </c>
    </row>
    <row r="7" spans="2:9" x14ac:dyDescent="0.3">
      <c r="B7" s="8"/>
      <c r="C7" s="11" t="s">
        <v>6</v>
      </c>
      <c r="D7" s="11" t="s">
        <v>7</v>
      </c>
      <c r="E7" s="11" t="s">
        <v>14</v>
      </c>
      <c r="F7" s="11" t="s">
        <v>9</v>
      </c>
      <c r="G7" s="11" t="s">
        <v>10</v>
      </c>
      <c r="H7" s="11" t="s">
        <v>8</v>
      </c>
      <c r="I7" s="11" t="s">
        <v>13</v>
      </c>
    </row>
    <row r="8" spans="2:9" x14ac:dyDescent="0.3">
      <c r="B8" s="1" t="s">
        <v>4</v>
      </c>
      <c r="C8" s="9">
        <f>Base!G2</f>
        <v>30879.62</v>
      </c>
      <c r="D8" s="10">
        <f>C3/2</f>
        <v>5243.97</v>
      </c>
      <c r="E8" s="3">
        <f>D8+C8</f>
        <v>36123.589999999997</v>
      </c>
      <c r="F8" s="10">
        <f>Choque!G2</f>
        <v>0</v>
      </c>
      <c r="G8" s="10">
        <f>D8</f>
        <v>5243.97</v>
      </c>
      <c r="H8" s="3">
        <f>G8+F8</f>
        <v>5243.97</v>
      </c>
      <c r="I8" s="14">
        <f>E8+H8</f>
        <v>41367.56</v>
      </c>
    </row>
    <row r="9" spans="2:9" x14ac:dyDescent="0.3">
      <c r="B9" s="1" t="s">
        <v>5</v>
      </c>
      <c r="C9" s="9">
        <f>Base!G3</f>
        <v>48755.5</v>
      </c>
      <c r="D9" s="10">
        <f>C4/2</f>
        <v>9646.75</v>
      </c>
      <c r="E9" s="3">
        <f>D9+C9</f>
        <v>58402.25</v>
      </c>
      <c r="F9" s="10">
        <f>Choque!G3</f>
        <v>0</v>
      </c>
      <c r="G9" s="10">
        <f>D9</f>
        <v>9646.75</v>
      </c>
      <c r="H9" s="3">
        <f>G9+F9</f>
        <v>9646.75</v>
      </c>
      <c r="I9" s="13">
        <f>E9+H9</f>
        <v>68049</v>
      </c>
    </row>
    <row r="10" spans="2:9" x14ac:dyDescent="0.3">
      <c r="B10" s="8"/>
      <c r="C10" s="10"/>
      <c r="D10" s="10"/>
      <c r="E10" s="18">
        <f>E9+E8</f>
        <v>94525.84</v>
      </c>
      <c r="F10" s="10"/>
      <c r="G10" s="10"/>
      <c r="H10" s="17">
        <f>H9+H8</f>
        <v>14890.720000000001</v>
      </c>
      <c r="I10" s="12">
        <f>I9+I8</f>
        <v>109416.56</v>
      </c>
    </row>
    <row r="11" spans="2:9" x14ac:dyDescent="0.3">
      <c r="B11" s="8"/>
      <c r="C11" s="10"/>
      <c r="D11" s="10"/>
      <c r="E11" s="10"/>
      <c r="F11" s="10"/>
      <c r="G11" s="10"/>
      <c r="H11" s="10"/>
    </row>
    <row r="12" spans="2:9" x14ac:dyDescent="0.3">
      <c r="C12" s="11" t="s">
        <v>14</v>
      </c>
      <c r="D12" s="11" t="s">
        <v>8</v>
      </c>
      <c r="E12" s="11" t="s">
        <v>13</v>
      </c>
    </row>
    <row r="13" spans="2:9" x14ac:dyDescent="0.3">
      <c r="B13" s="1" t="s">
        <v>4</v>
      </c>
      <c r="C13" s="2">
        <f>I8</f>
        <v>41367.56</v>
      </c>
      <c r="D13" s="2">
        <v>0</v>
      </c>
      <c r="E13" s="14">
        <f>D13+C13</f>
        <v>41367.56</v>
      </c>
    </row>
    <row r="14" spans="2:9" x14ac:dyDescent="0.3">
      <c r="B14" s="1" t="s">
        <v>5</v>
      </c>
      <c r="C14" s="2">
        <f>E9-H8</f>
        <v>53158.28</v>
      </c>
      <c r="D14" s="2">
        <f>H9+H8</f>
        <v>14890.720000000001</v>
      </c>
      <c r="E14" s="13">
        <f>D14+C14</f>
        <v>68049</v>
      </c>
    </row>
    <row r="15" spans="2:9" x14ac:dyDescent="0.3">
      <c r="C15" s="18">
        <f>C14+C13</f>
        <v>94525.84</v>
      </c>
      <c r="D15" s="17">
        <f>D14+D13</f>
        <v>14890.720000000001</v>
      </c>
      <c r="E15" s="12">
        <f>E14+E13</f>
        <v>109416.56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Gestión</vt:lpstr>
      <vt:lpstr>Choque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Silva Gonzalez</dc:creator>
  <cp:lastModifiedBy>Jose Antonio Silva</cp:lastModifiedBy>
  <dcterms:created xsi:type="dcterms:W3CDTF">2015-06-05T18:19:34Z</dcterms:created>
  <dcterms:modified xsi:type="dcterms:W3CDTF">2026-02-18T11:15:54Z</dcterms:modified>
</cp:coreProperties>
</file>